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Болгов" sheetId="1" state="visible" r:id="rId3"/>
    <sheet name="Спицин" sheetId="2" state="visible" r:id="rId4"/>
    <sheet name="Гуров" sheetId="3" state="visible" r:id="rId5"/>
    <sheet name="Сводка" sheetId="4" state="visible" r:id="rId6"/>
    <sheet name="TOPSIS" sheetId="5" state="visible" r:id="rId7"/>
    <sheet name="МА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<sst xmlns="http://schemas.openxmlformats.org/spreadsheetml/2006/main" count="400" uniqueCount="68">
  <si>
    <t xml:space="preserve">Эксперт: Болгов</t>
  </si>
  <si>
    <t xml:space="preserve">Таблица 1. Важность критериев</t>
  </si>
  <si>
    <t xml:space="preserve">Критерий</t>
  </si>
  <si>
    <t xml:space="preserve">Пессимистичная</t>
  </si>
  <si>
    <t xml:space="preserve">Ожидаемая</t>
  </si>
  <si>
    <t xml:space="preserve">Оптимистичная</t>
  </si>
  <si>
    <t xml:space="preserve">Востребованность</t>
  </si>
  <si>
    <t xml:space="preserve">Простота реализации</t>
  </si>
  <si>
    <t xml:space="preserve">Интерес команды</t>
  </si>
  <si>
    <t xml:space="preserve">Масштабируемость</t>
  </si>
  <si>
    <t xml:space="preserve">Таблица 2. Оценка концепций по критериям</t>
  </si>
  <si>
    <t xml:space="preserve">Концепция</t>
  </si>
  <si>
    <t xml:space="preserve">Таск-менеджер</t>
  </si>
  <si>
    <t xml:space="preserve">Органайзер изображений</t>
  </si>
  <si>
    <t xml:space="preserve">Менеджер паролей</t>
  </si>
  <si>
    <t xml:space="preserve">Markdown-редактор</t>
  </si>
  <si>
    <t xml:space="preserve">Эксперт: Спицин</t>
  </si>
  <si>
    <t xml:space="preserve">Эксперт: Гуров</t>
  </si>
  <si>
    <t xml:space="preserve">Сводка: среднее по трём экспертам</t>
  </si>
  <si>
    <t xml:space="preserve">Нечёткий коллективный TOPSIS</t>
  </si>
  <si>
    <t xml:space="preserve">Максимум шкалы оценок</t>
  </si>
  <si>
    <t xml:space="preserve">Таблица 1. Агрегированные веса критериев</t>
  </si>
  <si>
    <t xml:space="preserve">a (мин.)</t>
  </si>
  <si>
    <t xml:space="preserve">b (среднее)</t>
  </si>
  <si>
    <t xml:space="preserve">c (макс.)</t>
  </si>
  <si>
    <t xml:space="preserve">Норм. вес a</t>
  </si>
  <si>
    <t xml:space="preserve">Норм. вес b</t>
  </si>
  <si>
    <t xml:space="preserve">Норм. вес c</t>
  </si>
  <si>
    <t xml:space="preserve">Таблица 2. Агрегированная матрица решений (мин. / среднее / макс. по экспертам)</t>
  </si>
  <si>
    <t xml:space="preserve">a</t>
  </si>
  <si>
    <t xml:space="preserve">b</t>
  </si>
  <si>
    <t xml:space="preserve">c</t>
  </si>
  <si>
    <t xml:space="preserve">c* (макс. верхних границ)</t>
  </si>
  <si>
    <t xml:space="preserve">Таблица 3. Нормированная матрица решений (деление на c*)</t>
  </si>
  <si>
    <t xml:space="preserve">Таблица 4. Взвешенная нормированная матрица решений</t>
  </si>
  <si>
    <t xml:space="preserve">Таблица 5. Расстояния до идеала и антиидеала, коэффициент близости</t>
  </si>
  <si>
    <t xml:space="preserve">Расстояние до идеала (1; 1; 1)</t>
  </si>
  <si>
    <t xml:space="preserve">Расстояние до антиидеала (0; 0; 0)</t>
  </si>
  <si>
    <t xml:space="preserve">Σ d⁺</t>
  </si>
  <si>
    <t xml:space="preserve">Σ d⁻</t>
  </si>
  <si>
    <t xml:space="preserve">CC</t>
  </si>
  <si>
    <t xml:space="preserve">Место</t>
  </si>
  <si>
    <t xml:space="preserve">Лучшая концепция</t>
  </si>
  <si>
    <t xml:space="preserve">Примечания</t>
  </si>
  <si>
    <t xml:space="preserve">1. Оценки экспертов агрегированы по Чену: a – минимум нижних границ, b – среднее ожидаемых оценок, c – максимум верхних границ.</t>
  </si>
  <si>
    <t xml:space="preserve">2. Все критерии «чем больше, тем лучше», поэтому идеал (1; 1; 1), антиидеал (0; 0; 0); нормировка делением на c* по критерию.</t>
  </si>
  <si>
    <t xml:space="preserve">3. Веса делятся на максимум шкалы (ячейка B3). Расстояние между треугольными числами – вершинный метод: корень из среднего квадрата разностей a, b, c.</t>
  </si>
  <si>
    <t xml:space="preserve">4. CC = Σd⁻ / (Σd⁺ + Σd⁻); чем ближе к 1, тем лучше концепция.</t>
  </si>
  <si>
    <t xml:space="preserve">Коллективный МАИ</t>
  </si>
  <si>
    <t xml:space="preserve">Индекс случайной согласованности RI (n = 4)</t>
  </si>
  <si>
    <t xml:space="preserve">Таблица 1. Парные сравнения критериев (агрегированная матрица)</t>
  </si>
  <si>
    <t xml:space="preserve">Геом. среднее строки</t>
  </si>
  <si>
    <t xml:space="preserve">Вес</t>
  </si>
  <si>
    <t xml:space="preserve">Сумма столбца</t>
  </si>
  <si>
    <t xml:space="preserve">λmax</t>
  </si>
  <si>
    <t xml:space="preserve">ИС (индекс согласованности)</t>
  </si>
  <si>
    <t xml:space="preserve">ОС (отношение согласованности)</t>
  </si>
  <si>
    <t xml:space="preserve">Таблица 2. Парные сравнения концепций по критерию «Востребованность»</t>
  </si>
  <si>
    <t xml:space="preserve">Таблица 3. Парные сравнения концепций по критерию «Простота реализации»</t>
  </si>
  <si>
    <t xml:space="preserve">Таблица 4. Парные сравнения концепций по критерию «Интерес команды»</t>
  </si>
  <si>
    <t xml:space="preserve">Таблица 5. Парные сравнения концепций по критерию «Масштабируемость»</t>
  </si>
  <si>
    <t xml:space="preserve">Таблица 6. Локальные и глобальные приоритеты</t>
  </si>
  <si>
    <t xml:space="preserve">Глобальный приоритет</t>
  </si>
  <si>
    <t xml:space="preserve">Вес критерия</t>
  </si>
  <si>
    <t xml:space="preserve">1. Парные сравнения получены из ожидаемых оценок каждого эксперта: разность d оценок по шкале 1–9 переводится в шкалу Саати (1 + d; для d &lt; 0 обратное число).</t>
  </si>
  <si>
    <t xml:space="preserve">2. Индивидуальные суждения трёх экспертов агрегируются поэлементным геометрическим средним (функция GEOMEAN).</t>
  </si>
  <si>
    <t xml:space="preserve">3. Веса – нормированное среднее геометрическое строк матрицы; λmax = Σ (сумма столбца × вес).</t>
  </si>
  <si>
    <t xml:space="preserve">4. ОС ≤ 0,1 – согласованность приемлема. RI для матрицы 4×4 равен 0,90 (ячейка B3).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</si>
</sst>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9DB"/>
        <bgColor rgb="FFFFFFFF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0.14"/>
    <col collapsed="false" customWidth="true" hidden="false" outlineLevel="0" max="4" min="4" style="0" width="18.29"/>
    <col collapsed="false" customWidth="true" hidden="false" outlineLevel="0" max="5" min="5" style="0" width="19.14"/>
    <col collapsed="false" customWidth="true" hidden="false" outlineLevel="0" max="6" min="6" style="0" width="14"/>
    <col collapsed="false" customWidth="true" hidden="false" outlineLevel="0" max="26" min="7" style="0" width="8.71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6</v>
      </c>
      <c r="C5" s="5" t="n">
        <v>7</v>
      </c>
      <c r="D5" s="5" t="n">
        <v>8</v>
      </c>
    </row>
    <row r="6" customFormat="false" ht="15" hidden="false" customHeight="false" outlineLevel="0" collapsed="false">
      <c r="A6" s="4" t="s">
        <v>7</v>
      </c>
      <c r="B6" s="5" t="n">
        <v>7</v>
      </c>
      <c r="C6" s="5" t="n">
        <v>8</v>
      </c>
      <c r="D6" s="5" t="n">
        <v>9</v>
      </c>
    </row>
    <row r="7" customFormat="false" ht="15" hidden="false" customHeight="false" outlineLevel="0" collapsed="false">
      <c r="A7" s="4" t="s">
        <v>8</v>
      </c>
      <c r="B7" s="5" t="n">
        <v>5</v>
      </c>
      <c r="C7" s="5" t="n">
        <v>6</v>
      </c>
      <c r="D7" s="5" t="n">
        <v>7</v>
      </c>
    </row>
    <row r="8" customFormat="false" ht="15" hidden="false" customHeight="false" outlineLevel="0" collapsed="false">
      <c r="A8" s="4" t="s">
        <v>9</v>
      </c>
      <c r="B8" s="5" t="n">
        <v>3</v>
      </c>
      <c r="C8" s="5" t="n">
        <v>4</v>
      </c>
      <c r="D8" s="5" t="n">
        <v>5</v>
      </c>
    </row>
    <row r="10" customFormat="false" ht="15" hidden="false" customHeight="false" outlineLevel="0" collapsed="false">
      <c r="A10" s="2" t="s">
        <v>10</v>
      </c>
    </row>
    <row r="11" customFormat="false" ht="15" hidden="false" customHeight="false" outlineLevel="0" collapsed="false">
      <c r="A11" s="3" t="s">
        <v>11</v>
      </c>
      <c r="B11" s="3" t="s">
        <v>2</v>
      </c>
      <c r="C11" s="3" t="s">
        <v>3</v>
      </c>
      <c r="D11" s="3" t="s">
        <v>4</v>
      </c>
      <c r="E11" s="3" t="s">
        <v>5</v>
      </c>
    </row>
    <row r="12" customFormat="false" ht="15" hidden="false" customHeight="false" outlineLevel="0" collapsed="false">
      <c r="A12" s="4" t="s">
        <v>12</v>
      </c>
      <c r="B12" s="4" t="s">
        <v>6</v>
      </c>
      <c r="C12" s="5" t="n">
        <v>7</v>
      </c>
      <c r="D12" s="5" t="n">
        <v>8</v>
      </c>
      <c r="E12" s="5" t="n">
        <v>9</v>
      </c>
    </row>
    <row r="13" customFormat="false" ht="15" hidden="false" customHeight="false" outlineLevel="0" collapsed="false">
      <c r="A13" s="4" t="s">
        <v>12</v>
      </c>
      <c r="B13" s="4" t="s">
        <v>7</v>
      </c>
      <c r="C13" s="5" t="n">
        <v>4</v>
      </c>
      <c r="D13" s="5" t="n">
        <v>5</v>
      </c>
      <c r="E13" s="5" t="n">
        <v>6</v>
      </c>
    </row>
    <row r="14" customFormat="false" ht="15" hidden="false" customHeight="false" outlineLevel="0" collapsed="false">
      <c r="A14" s="4" t="s">
        <v>12</v>
      </c>
      <c r="B14" s="4" t="s">
        <v>8</v>
      </c>
      <c r="C14" s="5" t="n">
        <v>4</v>
      </c>
      <c r="D14" s="5" t="n">
        <v>5</v>
      </c>
      <c r="E14" s="5" t="n">
        <v>6</v>
      </c>
    </row>
    <row r="15" customFormat="false" ht="15" hidden="false" customHeight="false" outlineLevel="0" collapsed="false">
      <c r="A15" s="4" t="s">
        <v>12</v>
      </c>
      <c r="B15" s="4" t="s">
        <v>9</v>
      </c>
      <c r="C15" s="5" t="n">
        <v>7</v>
      </c>
      <c r="D15" s="5" t="n">
        <v>8</v>
      </c>
      <c r="E15" s="5" t="n">
        <v>9</v>
      </c>
    </row>
    <row r="16" customFormat="false" ht="15" hidden="false" customHeight="false" outlineLevel="0" collapsed="false">
      <c r="A16" s="4" t="s">
        <v>13</v>
      </c>
      <c r="B16" s="4" t="s">
        <v>6</v>
      </c>
      <c r="C16" s="5" t="n">
        <v>4</v>
      </c>
      <c r="D16" s="5" t="n">
        <v>5</v>
      </c>
      <c r="E16" s="5" t="n">
        <v>6</v>
      </c>
    </row>
    <row r="17" customFormat="false" ht="15" hidden="false" customHeight="false" outlineLevel="0" collapsed="false">
      <c r="A17" s="4" t="s">
        <v>13</v>
      </c>
      <c r="B17" s="4" t="s">
        <v>7</v>
      </c>
      <c r="C17" s="5" t="n">
        <v>3</v>
      </c>
      <c r="D17" s="5" t="n">
        <v>4</v>
      </c>
      <c r="E17" s="5" t="n">
        <v>5</v>
      </c>
    </row>
    <row r="18" customFormat="false" ht="15" hidden="false" customHeight="false" outlineLevel="0" collapsed="false">
      <c r="A18" s="4" t="s">
        <v>13</v>
      </c>
      <c r="B18" s="4" t="s">
        <v>8</v>
      </c>
      <c r="C18" s="5" t="n">
        <v>5</v>
      </c>
      <c r="D18" s="5" t="n">
        <v>6</v>
      </c>
      <c r="E18" s="5" t="n">
        <v>7</v>
      </c>
    </row>
    <row r="19" customFormat="false" ht="15" hidden="false" customHeight="false" outlineLevel="0" collapsed="false">
      <c r="A19" s="4" t="s">
        <v>13</v>
      </c>
      <c r="B19" s="4" t="s">
        <v>9</v>
      </c>
      <c r="C19" s="5" t="n">
        <v>4</v>
      </c>
      <c r="D19" s="5" t="n">
        <v>5</v>
      </c>
      <c r="E19" s="5" t="n">
        <v>6</v>
      </c>
    </row>
    <row r="20" customFormat="false" ht="15" hidden="false" customHeight="false" outlineLevel="0" collapsed="false">
      <c r="A20" s="4" t="s">
        <v>14</v>
      </c>
      <c r="B20" s="4" t="s">
        <v>6</v>
      </c>
      <c r="C20" s="5" t="n">
        <v>6</v>
      </c>
      <c r="D20" s="5" t="n">
        <v>7</v>
      </c>
      <c r="E20" s="5" t="n">
        <v>8</v>
      </c>
    </row>
    <row r="21" customFormat="false" ht="15.75" hidden="false" customHeight="true" outlineLevel="0" collapsed="false">
      <c r="A21" s="4" t="s">
        <v>14</v>
      </c>
      <c r="B21" s="4" t="s">
        <v>7</v>
      </c>
      <c r="C21" s="5" t="n">
        <v>3</v>
      </c>
      <c r="D21" s="5" t="n">
        <v>4</v>
      </c>
      <c r="E21" s="5" t="n">
        <v>5</v>
      </c>
    </row>
    <row r="22" customFormat="false" ht="15.75" hidden="false" customHeight="true" outlineLevel="0" collapsed="false">
      <c r="A22" s="4" t="s">
        <v>14</v>
      </c>
      <c r="B22" s="4" t="s">
        <v>8</v>
      </c>
      <c r="C22" s="5" t="n">
        <v>4</v>
      </c>
      <c r="D22" s="5" t="n">
        <v>5</v>
      </c>
      <c r="E22" s="5" t="n">
        <v>6</v>
      </c>
    </row>
    <row r="23" customFormat="false" ht="15.75" hidden="false" customHeight="true" outlineLevel="0" collapsed="false">
      <c r="A23" s="4" t="s">
        <v>14</v>
      </c>
      <c r="B23" s="4" t="s">
        <v>9</v>
      </c>
      <c r="C23" s="5" t="n">
        <v>3</v>
      </c>
      <c r="D23" s="5" t="n">
        <v>4</v>
      </c>
      <c r="E23" s="5" t="n">
        <v>5</v>
      </c>
    </row>
    <row r="24" customFormat="false" ht="15.75" hidden="false" customHeight="true" outlineLevel="0" collapsed="false">
      <c r="A24" s="4" t="s">
        <v>15</v>
      </c>
      <c r="B24" s="4" t="s">
        <v>6</v>
      </c>
      <c r="C24" s="5" t="n">
        <v>5</v>
      </c>
      <c r="D24" s="5" t="n">
        <v>6</v>
      </c>
      <c r="E24" s="5" t="n">
        <v>7</v>
      </c>
    </row>
    <row r="25" customFormat="false" ht="15.75" hidden="false" customHeight="true" outlineLevel="0" collapsed="false">
      <c r="A25" s="4" t="s">
        <v>15</v>
      </c>
      <c r="B25" s="4" t="s">
        <v>7</v>
      </c>
      <c r="C25" s="5" t="n">
        <v>7</v>
      </c>
      <c r="D25" s="5" t="n">
        <v>8</v>
      </c>
      <c r="E25" s="5" t="n">
        <v>9</v>
      </c>
    </row>
    <row r="26" customFormat="false" ht="15.75" hidden="false" customHeight="true" outlineLevel="0" collapsed="false">
      <c r="A26" s="4" t="s">
        <v>15</v>
      </c>
      <c r="B26" s="4" t="s">
        <v>8</v>
      </c>
      <c r="C26" s="5" t="n">
        <v>7</v>
      </c>
      <c r="D26" s="5" t="n">
        <v>8</v>
      </c>
      <c r="E26" s="5" t="n">
        <v>9</v>
      </c>
    </row>
    <row r="27" customFormat="false" ht="15.75" hidden="false" customHeight="true" outlineLevel="0" collapsed="false">
      <c r="A27" s="4" t="s">
        <v>15</v>
      </c>
      <c r="B27" s="4" t="s">
        <v>9</v>
      </c>
      <c r="C27" s="5" t="n">
        <v>5</v>
      </c>
      <c r="D27" s="5" t="n">
        <v>6</v>
      </c>
      <c r="E27" s="5" t="n">
        <v>7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0.43"/>
    <col collapsed="false" customWidth="true" hidden="false" outlineLevel="0" max="4" min="4" style="0" width="19"/>
    <col collapsed="false" customWidth="true" hidden="false" outlineLevel="0" max="5" min="5" style="0" width="17.57"/>
    <col collapsed="false" customWidth="true" hidden="false" outlineLevel="0" max="6" min="6" style="0" width="14"/>
    <col collapsed="false" customWidth="true" hidden="false" outlineLevel="0" max="26" min="7" style="0" width="8.71"/>
  </cols>
  <sheetData>
    <row r="1" customFormat="false" ht="17.35" hidden="false" customHeight="false" outlineLevel="0" collapsed="false">
      <c r="A1" s="1" t="s">
        <v>16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5</v>
      </c>
      <c r="C5" s="5" t="n">
        <v>6</v>
      </c>
      <c r="D5" s="5" t="n">
        <v>7</v>
      </c>
    </row>
    <row r="6" customFormat="false" ht="15" hidden="false" customHeight="false" outlineLevel="0" collapsed="false">
      <c r="A6" s="4" t="s">
        <v>7</v>
      </c>
      <c r="B6" s="5" t="n">
        <v>6</v>
      </c>
      <c r="C6" s="5" t="n">
        <v>7</v>
      </c>
      <c r="D6" s="5" t="n">
        <v>8</v>
      </c>
    </row>
    <row r="7" customFormat="false" ht="15" hidden="false" customHeight="false" outlineLevel="0" collapsed="false">
      <c r="A7" s="4" t="s">
        <v>8</v>
      </c>
      <c r="B7" s="5" t="n">
        <v>6</v>
      </c>
      <c r="C7" s="5" t="n">
        <v>7</v>
      </c>
      <c r="D7" s="5" t="n">
        <v>8</v>
      </c>
    </row>
    <row r="8" customFormat="false" ht="15" hidden="false" customHeight="false" outlineLevel="0" collapsed="false">
      <c r="A8" s="4" t="s">
        <v>9</v>
      </c>
      <c r="B8" s="5" t="n">
        <v>3</v>
      </c>
      <c r="C8" s="5" t="n">
        <v>4</v>
      </c>
      <c r="D8" s="5" t="n">
        <v>6</v>
      </c>
    </row>
    <row r="10" customFormat="false" ht="15" hidden="false" customHeight="false" outlineLevel="0" collapsed="false">
      <c r="A10" s="2" t="s">
        <v>10</v>
      </c>
    </row>
    <row r="11" customFormat="false" ht="15" hidden="false" customHeight="false" outlineLevel="0" collapsed="false">
      <c r="A11" s="3" t="s">
        <v>11</v>
      </c>
      <c r="B11" s="3" t="s">
        <v>2</v>
      </c>
      <c r="C11" s="3" t="s">
        <v>3</v>
      </c>
      <c r="D11" s="3" t="s">
        <v>4</v>
      </c>
      <c r="E11" s="3" t="s">
        <v>5</v>
      </c>
    </row>
    <row r="12" customFormat="false" ht="15" hidden="false" customHeight="false" outlineLevel="0" collapsed="false">
      <c r="A12" s="4" t="s">
        <v>12</v>
      </c>
      <c r="B12" s="4" t="s">
        <v>6</v>
      </c>
      <c r="C12" s="5" t="n">
        <v>7</v>
      </c>
      <c r="D12" s="5" t="n">
        <v>8</v>
      </c>
      <c r="E12" s="5" t="n">
        <v>9</v>
      </c>
    </row>
    <row r="13" customFormat="false" ht="15" hidden="false" customHeight="false" outlineLevel="0" collapsed="false">
      <c r="A13" s="4" t="s">
        <v>12</v>
      </c>
      <c r="B13" s="4" t="s">
        <v>7</v>
      </c>
      <c r="C13" s="5" t="n">
        <v>4</v>
      </c>
      <c r="D13" s="5" t="n">
        <v>5</v>
      </c>
      <c r="E13" s="5" t="n">
        <v>7</v>
      </c>
    </row>
    <row r="14" customFormat="false" ht="15" hidden="false" customHeight="false" outlineLevel="0" collapsed="false">
      <c r="A14" s="4" t="s">
        <v>12</v>
      </c>
      <c r="B14" s="4" t="s">
        <v>8</v>
      </c>
      <c r="C14" s="5" t="n">
        <v>3</v>
      </c>
      <c r="D14" s="5" t="n">
        <v>5</v>
      </c>
      <c r="E14" s="5" t="n">
        <v>6</v>
      </c>
    </row>
    <row r="15" customFormat="false" ht="15" hidden="false" customHeight="false" outlineLevel="0" collapsed="false">
      <c r="A15" s="4" t="s">
        <v>12</v>
      </c>
      <c r="B15" s="4" t="s">
        <v>9</v>
      </c>
      <c r="C15" s="5" t="n">
        <v>7</v>
      </c>
      <c r="D15" s="5" t="n">
        <v>8</v>
      </c>
      <c r="E15" s="5" t="n">
        <v>9</v>
      </c>
    </row>
    <row r="16" customFormat="false" ht="15" hidden="false" customHeight="false" outlineLevel="0" collapsed="false">
      <c r="A16" s="4" t="s">
        <v>13</v>
      </c>
      <c r="B16" s="4" t="s">
        <v>6</v>
      </c>
      <c r="C16" s="5" t="n">
        <v>4</v>
      </c>
      <c r="D16" s="5" t="n">
        <v>5</v>
      </c>
      <c r="E16" s="5" t="n">
        <v>6</v>
      </c>
    </row>
    <row r="17" customFormat="false" ht="15" hidden="false" customHeight="false" outlineLevel="0" collapsed="false">
      <c r="A17" s="4" t="s">
        <v>13</v>
      </c>
      <c r="B17" s="4" t="s">
        <v>7</v>
      </c>
      <c r="C17" s="5" t="n">
        <v>3</v>
      </c>
      <c r="D17" s="5" t="n">
        <v>4</v>
      </c>
      <c r="E17" s="5" t="n">
        <v>5</v>
      </c>
    </row>
    <row r="18" customFormat="false" ht="15" hidden="false" customHeight="false" outlineLevel="0" collapsed="false">
      <c r="A18" s="4" t="s">
        <v>13</v>
      </c>
      <c r="B18" s="4" t="s">
        <v>8</v>
      </c>
      <c r="C18" s="5" t="n">
        <v>5</v>
      </c>
      <c r="D18" s="5" t="n">
        <v>6</v>
      </c>
      <c r="E18" s="5" t="n">
        <v>8</v>
      </c>
    </row>
    <row r="19" customFormat="false" ht="15" hidden="false" customHeight="false" outlineLevel="0" collapsed="false">
      <c r="A19" s="4" t="s">
        <v>13</v>
      </c>
      <c r="B19" s="4" t="s">
        <v>9</v>
      </c>
      <c r="C19" s="5" t="n">
        <v>4</v>
      </c>
      <c r="D19" s="5" t="n">
        <v>5</v>
      </c>
      <c r="E19" s="5" t="n">
        <v>6</v>
      </c>
    </row>
    <row r="20" customFormat="false" ht="15" hidden="false" customHeight="false" outlineLevel="0" collapsed="false">
      <c r="A20" s="4" t="s">
        <v>14</v>
      </c>
      <c r="B20" s="4" t="s">
        <v>6</v>
      </c>
      <c r="C20" s="5" t="n">
        <v>6</v>
      </c>
      <c r="D20" s="5" t="n">
        <v>7</v>
      </c>
      <c r="E20" s="5" t="n">
        <v>8</v>
      </c>
    </row>
    <row r="21" customFormat="false" ht="15.75" hidden="false" customHeight="true" outlineLevel="0" collapsed="false">
      <c r="A21" s="4" t="s">
        <v>14</v>
      </c>
      <c r="B21" s="4" t="s">
        <v>7</v>
      </c>
      <c r="C21" s="5" t="n">
        <v>3</v>
      </c>
      <c r="D21" s="5" t="n">
        <v>4</v>
      </c>
      <c r="E21" s="5" t="n">
        <v>6</v>
      </c>
    </row>
    <row r="22" customFormat="false" ht="15.75" hidden="false" customHeight="true" outlineLevel="0" collapsed="false">
      <c r="A22" s="4" t="s">
        <v>14</v>
      </c>
      <c r="B22" s="4" t="s">
        <v>8</v>
      </c>
      <c r="C22" s="5" t="n">
        <v>4</v>
      </c>
      <c r="D22" s="5" t="n">
        <v>5</v>
      </c>
      <c r="E22" s="5" t="n">
        <v>6</v>
      </c>
    </row>
    <row r="23" customFormat="false" ht="15.75" hidden="false" customHeight="true" outlineLevel="0" collapsed="false">
      <c r="A23" s="4" t="s">
        <v>14</v>
      </c>
      <c r="B23" s="4" t="s">
        <v>9</v>
      </c>
      <c r="C23" s="5" t="n">
        <v>3</v>
      </c>
      <c r="D23" s="5" t="n">
        <v>4</v>
      </c>
      <c r="E23" s="5" t="n">
        <v>5</v>
      </c>
    </row>
    <row r="24" customFormat="false" ht="15.75" hidden="false" customHeight="true" outlineLevel="0" collapsed="false">
      <c r="A24" s="4" t="s">
        <v>15</v>
      </c>
      <c r="B24" s="4" t="s">
        <v>6</v>
      </c>
      <c r="C24" s="5" t="n">
        <v>5</v>
      </c>
      <c r="D24" s="5" t="n">
        <v>6</v>
      </c>
      <c r="E24" s="5" t="n">
        <v>8</v>
      </c>
    </row>
    <row r="25" customFormat="false" ht="15.75" hidden="false" customHeight="true" outlineLevel="0" collapsed="false">
      <c r="A25" s="4" t="s">
        <v>15</v>
      </c>
      <c r="B25" s="4" t="s">
        <v>7</v>
      </c>
      <c r="C25" s="5" t="n">
        <v>7</v>
      </c>
      <c r="D25" s="5" t="n">
        <v>8</v>
      </c>
      <c r="E25" s="5" t="n">
        <v>9</v>
      </c>
    </row>
    <row r="26" customFormat="false" ht="15.75" hidden="false" customHeight="true" outlineLevel="0" collapsed="false">
      <c r="A26" s="4" t="s">
        <v>15</v>
      </c>
      <c r="B26" s="4" t="s">
        <v>8</v>
      </c>
      <c r="C26" s="5" t="n">
        <v>6</v>
      </c>
      <c r="D26" s="5" t="n">
        <v>7</v>
      </c>
      <c r="E26" s="5" t="n">
        <v>8</v>
      </c>
    </row>
    <row r="27" customFormat="false" ht="15.75" hidden="false" customHeight="true" outlineLevel="0" collapsed="false">
      <c r="A27" s="4" t="s">
        <v>15</v>
      </c>
      <c r="B27" s="4" t="s">
        <v>9</v>
      </c>
      <c r="C27" s="5" t="n">
        <v>4</v>
      </c>
      <c r="D27" s="5" t="n">
        <v>6</v>
      </c>
      <c r="E27" s="5" t="n">
        <v>7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9.57"/>
    <col collapsed="false" customWidth="true" hidden="false" outlineLevel="0" max="4" min="4" style="0" width="19.14"/>
    <col collapsed="false" customWidth="true" hidden="false" outlineLevel="0" max="5" min="5" style="0" width="18.29"/>
    <col collapsed="false" customWidth="true" hidden="false" outlineLevel="0" max="6" min="6" style="0" width="14"/>
    <col collapsed="false" customWidth="true" hidden="false" outlineLevel="0" max="26" min="7" style="0" width="8.71"/>
  </cols>
  <sheetData>
    <row r="1" customFormat="false" ht="17.35" hidden="false" customHeight="false" outlineLevel="0" collapsed="false">
      <c r="A1" s="1" t="s">
        <v>17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6</v>
      </c>
      <c r="C5" s="5" t="n">
        <v>7</v>
      </c>
      <c r="D5" s="5" t="n">
        <v>8</v>
      </c>
    </row>
    <row r="6" customFormat="false" ht="15" hidden="false" customHeight="false" outlineLevel="0" collapsed="false">
      <c r="A6" s="4" t="s">
        <v>7</v>
      </c>
      <c r="B6" s="5" t="n">
        <v>7</v>
      </c>
      <c r="C6" s="5" t="n">
        <v>8</v>
      </c>
      <c r="D6" s="5" t="n">
        <v>9</v>
      </c>
    </row>
    <row r="7" customFormat="false" ht="15" hidden="false" customHeight="false" outlineLevel="0" collapsed="false">
      <c r="A7" s="4" t="s">
        <v>8</v>
      </c>
      <c r="B7" s="5" t="n">
        <v>4</v>
      </c>
      <c r="C7" s="5" t="n">
        <v>5</v>
      </c>
      <c r="D7" s="5" t="n">
        <v>7</v>
      </c>
    </row>
    <row r="8" customFormat="false" ht="15" hidden="false" customHeight="false" outlineLevel="0" collapsed="false">
      <c r="A8" s="4" t="s">
        <v>9</v>
      </c>
      <c r="B8" s="5" t="n">
        <v>2</v>
      </c>
      <c r="C8" s="5" t="n">
        <v>4</v>
      </c>
      <c r="D8" s="5" t="n">
        <v>5</v>
      </c>
    </row>
    <row r="10" customFormat="false" ht="15" hidden="false" customHeight="false" outlineLevel="0" collapsed="false">
      <c r="A10" s="2" t="s">
        <v>10</v>
      </c>
    </row>
    <row r="11" customFormat="false" ht="15" hidden="false" customHeight="false" outlineLevel="0" collapsed="false">
      <c r="A11" s="3" t="s">
        <v>11</v>
      </c>
      <c r="B11" s="3" t="s">
        <v>2</v>
      </c>
      <c r="C11" s="3" t="s">
        <v>3</v>
      </c>
      <c r="D11" s="3" t="s">
        <v>4</v>
      </c>
      <c r="E11" s="3" t="s">
        <v>5</v>
      </c>
    </row>
    <row r="12" customFormat="false" ht="15" hidden="false" customHeight="false" outlineLevel="0" collapsed="false">
      <c r="A12" s="4" t="s">
        <v>12</v>
      </c>
      <c r="B12" s="4" t="s">
        <v>6</v>
      </c>
      <c r="C12" s="5" t="n">
        <v>7</v>
      </c>
      <c r="D12" s="5" t="n">
        <v>8</v>
      </c>
      <c r="E12" s="5" t="n">
        <v>9</v>
      </c>
    </row>
    <row r="13" customFormat="false" ht="15" hidden="false" customHeight="false" outlineLevel="0" collapsed="false">
      <c r="A13" s="4" t="s">
        <v>12</v>
      </c>
      <c r="B13" s="4" t="s">
        <v>7</v>
      </c>
      <c r="C13" s="5" t="n">
        <v>5</v>
      </c>
      <c r="D13" s="5" t="n">
        <v>6</v>
      </c>
      <c r="E13" s="5" t="n">
        <v>7</v>
      </c>
    </row>
    <row r="14" customFormat="false" ht="15" hidden="false" customHeight="false" outlineLevel="0" collapsed="false">
      <c r="A14" s="4" t="s">
        <v>12</v>
      </c>
      <c r="B14" s="4" t="s">
        <v>8</v>
      </c>
      <c r="C14" s="5" t="n">
        <v>3</v>
      </c>
      <c r="D14" s="5" t="n">
        <v>4</v>
      </c>
      <c r="E14" s="5" t="n">
        <v>5</v>
      </c>
    </row>
    <row r="15" customFormat="false" ht="15" hidden="false" customHeight="false" outlineLevel="0" collapsed="false">
      <c r="A15" s="4" t="s">
        <v>12</v>
      </c>
      <c r="B15" s="4" t="s">
        <v>9</v>
      </c>
      <c r="C15" s="5" t="n">
        <v>6</v>
      </c>
      <c r="D15" s="5" t="n">
        <v>8</v>
      </c>
      <c r="E15" s="5" t="n">
        <v>9</v>
      </c>
    </row>
    <row r="16" customFormat="false" ht="15" hidden="false" customHeight="false" outlineLevel="0" collapsed="false">
      <c r="A16" s="4" t="s">
        <v>13</v>
      </c>
      <c r="B16" s="4" t="s">
        <v>6</v>
      </c>
      <c r="C16" s="5" t="n">
        <v>3</v>
      </c>
      <c r="D16" s="5" t="n">
        <v>5</v>
      </c>
      <c r="E16" s="5" t="n">
        <v>6</v>
      </c>
    </row>
    <row r="17" customFormat="false" ht="15" hidden="false" customHeight="false" outlineLevel="0" collapsed="false">
      <c r="A17" s="4" t="s">
        <v>13</v>
      </c>
      <c r="B17" s="4" t="s">
        <v>7</v>
      </c>
      <c r="C17" s="5" t="n">
        <v>3</v>
      </c>
      <c r="D17" s="5" t="n">
        <v>4</v>
      </c>
      <c r="E17" s="5" t="n">
        <v>5</v>
      </c>
    </row>
    <row r="18" customFormat="false" ht="15" hidden="false" customHeight="false" outlineLevel="0" collapsed="false">
      <c r="A18" s="4" t="s">
        <v>13</v>
      </c>
      <c r="B18" s="4" t="s">
        <v>8</v>
      </c>
      <c r="C18" s="5" t="n">
        <v>5</v>
      </c>
      <c r="D18" s="5" t="n">
        <v>6</v>
      </c>
      <c r="E18" s="5" t="n">
        <v>7</v>
      </c>
    </row>
    <row r="19" customFormat="false" ht="15" hidden="false" customHeight="false" outlineLevel="0" collapsed="false">
      <c r="A19" s="4" t="s">
        <v>13</v>
      </c>
      <c r="B19" s="4" t="s">
        <v>9</v>
      </c>
      <c r="C19" s="5" t="n">
        <v>4</v>
      </c>
      <c r="D19" s="5" t="n">
        <v>5</v>
      </c>
      <c r="E19" s="5" t="n">
        <v>6</v>
      </c>
    </row>
    <row r="20" customFormat="false" ht="15" hidden="false" customHeight="false" outlineLevel="0" collapsed="false">
      <c r="A20" s="4" t="s">
        <v>14</v>
      </c>
      <c r="B20" s="4" t="s">
        <v>6</v>
      </c>
      <c r="C20" s="5" t="n">
        <v>6</v>
      </c>
      <c r="D20" s="5" t="n">
        <v>7</v>
      </c>
      <c r="E20" s="5" t="n">
        <v>9</v>
      </c>
    </row>
    <row r="21" customFormat="false" ht="15.75" hidden="false" customHeight="true" outlineLevel="0" collapsed="false">
      <c r="A21" s="4" t="s">
        <v>14</v>
      </c>
      <c r="B21" s="4" t="s">
        <v>7</v>
      </c>
      <c r="C21" s="5" t="n">
        <v>2</v>
      </c>
      <c r="D21" s="5" t="n">
        <v>3</v>
      </c>
      <c r="E21" s="5" t="n">
        <v>5</v>
      </c>
    </row>
    <row r="22" customFormat="false" ht="15.75" hidden="false" customHeight="true" outlineLevel="0" collapsed="false">
      <c r="A22" s="4" t="s">
        <v>14</v>
      </c>
      <c r="B22" s="4" t="s">
        <v>8</v>
      </c>
      <c r="C22" s="5" t="n">
        <v>4</v>
      </c>
      <c r="D22" s="5" t="n">
        <v>5</v>
      </c>
      <c r="E22" s="5" t="n">
        <v>6</v>
      </c>
    </row>
    <row r="23" customFormat="false" ht="15.75" hidden="false" customHeight="true" outlineLevel="0" collapsed="false">
      <c r="A23" s="4" t="s">
        <v>14</v>
      </c>
      <c r="B23" s="4" t="s">
        <v>9</v>
      </c>
      <c r="C23" s="5" t="n">
        <v>3</v>
      </c>
      <c r="D23" s="5" t="n">
        <v>4</v>
      </c>
      <c r="E23" s="5" t="n">
        <v>5</v>
      </c>
    </row>
    <row r="24" customFormat="false" ht="15.75" hidden="false" customHeight="true" outlineLevel="0" collapsed="false">
      <c r="A24" s="4" t="s">
        <v>15</v>
      </c>
      <c r="B24" s="4" t="s">
        <v>6</v>
      </c>
      <c r="C24" s="5" t="n">
        <v>4</v>
      </c>
      <c r="D24" s="5" t="n">
        <v>6</v>
      </c>
      <c r="E24" s="5" t="n">
        <v>7</v>
      </c>
    </row>
    <row r="25" customFormat="false" ht="15.75" hidden="false" customHeight="true" outlineLevel="0" collapsed="false">
      <c r="A25" s="4" t="s">
        <v>15</v>
      </c>
      <c r="B25" s="4" t="s">
        <v>7</v>
      </c>
      <c r="C25" s="5" t="n">
        <v>7</v>
      </c>
      <c r="D25" s="5" t="n">
        <v>8</v>
      </c>
      <c r="E25" s="5" t="n">
        <v>9</v>
      </c>
    </row>
    <row r="26" customFormat="false" ht="15.75" hidden="false" customHeight="true" outlineLevel="0" collapsed="false">
      <c r="A26" s="4" t="s">
        <v>15</v>
      </c>
      <c r="B26" s="4" t="s">
        <v>8</v>
      </c>
      <c r="C26" s="5" t="n">
        <v>7</v>
      </c>
      <c r="D26" s="5" t="n">
        <v>8</v>
      </c>
      <c r="E26" s="5" t="n">
        <v>9</v>
      </c>
    </row>
    <row r="27" customFormat="false" ht="15.75" hidden="false" customHeight="true" outlineLevel="0" collapsed="false">
      <c r="A27" s="4" t="s">
        <v>15</v>
      </c>
      <c r="B27" s="4" t="s">
        <v>9</v>
      </c>
      <c r="C27" s="5" t="n">
        <v>5</v>
      </c>
      <c r="D27" s="5" t="n">
        <v>6</v>
      </c>
      <c r="E27" s="5" t="n">
        <v>7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9.29"/>
    <col collapsed="false" customWidth="true" hidden="false" outlineLevel="0" max="5" min="5" style="0" width="18.14"/>
    <col collapsed="false" customWidth="true" hidden="false" outlineLevel="0" max="26" min="6" style="0" width="8.71"/>
  </cols>
  <sheetData>
    <row r="1" customFormat="false" ht="17.35" hidden="false" customHeight="false" outlineLevel="0" collapsed="false">
      <c r="A1" s="1" t="s">
        <v>18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6" t="n">
        <f aca="false">AVERAGE(Болгов!B5,Спицин!B5,Гуров!B5)</f>
        <v>5.66666666666667</v>
      </c>
      <c r="C5" s="6" t="n">
        <f aca="false">AVERAGE(Болгов!C5,Спицин!C5,Гуров!C5)</f>
        <v>6.66666666666667</v>
      </c>
      <c r="D5" s="6" t="n">
        <f aca="false">AVERAGE(Болгов!D5,Спицин!D5,Гуров!D5)</f>
        <v>7.66666666666667</v>
      </c>
    </row>
    <row r="6" customFormat="false" ht="15" hidden="false" customHeight="false" outlineLevel="0" collapsed="false">
      <c r="A6" s="4" t="s">
        <v>7</v>
      </c>
      <c r="B6" s="6" t="n">
        <f aca="false">AVERAGE(Болгов!B6,Спицин!B6,Гуров!B6)</f>
        <v>6.66666666666667</v>
      </c>
      <c r="C6" s="6" t="n">
        <f aca="false">AVERAGE(Болгов!C6,Спицин!C6,Гуров!C6)</f>
        <v>7.66666666666667</v>
      </c>
      <c r="D6" s="6" t="n">
        <f aca="false">AVERAGE(Болгов!D6,Спицин!D6,Гуров!D6)</f>
        <v>8.66666666666667</v>
      </c>
    </row>
    <row r="7" customFormat="false" ht="15" hidden="false" customHeight="false" outlineLevel="0" collapsed="false">
      <c r="A7" s="4" t="s">
        <v>8</v>
      </c>
      <c r="B7" s="6" t="n">
        <f aca="false">AVERAGE(Болгов!B7,Спицин!B7,Гуров!B7)</f>
        <v>5</v>
      </c>
      <c r="C7" s="6" t="n">
        <f aca="false">AVERAGE(Болгов!C7,Спицин!C7,Гуров!C7)</f>
        <v>6</v>
      </c>
      <c r="D7" s="6" t="n">
        <f aca="false">AVERAGE(Болгов!D7,Спицин!D7,Гуров!D7)</f>
        <v>7.33333333333333</v>
      </c>
    </row>
    <row r="8" customFormat="false" ht="15" hidden="false" customHeight="false" outlineLevel="0" collapsed="false">
      <c r="A8" s="4" t="s">
        <v>9</v>
      </c>
      <c r="B8" s="6" t="n">
        <f aca="false">AVERAGE(Болгов!B8,Спицин!B8,Гуров!B8)</f>
        <v>2.66666666666667</v>
      </c>
      <c r="C8" s="6" t="n">
        <f aca="false">AVERAGE(Болгов!C8,Спицин!C8,Гуров!C8)</f>
        <v>4</v>
      </c>
      <c r="D8" s="6" t="n">
        <f aca="false">AVERAGE(Болгов!D8,Спицин!D8,Гуров!D8)</f>
        <v>5.33333333333333</v>
      </c>
    </row>
    <row r="10" customFormat="false" ht="15" hidden="false" customHeight="false" outlineLevel="0" collapsed="false">
      <c r="A10" s="2" t="s">
        <v>10</v>
      </c>
    </row>
    <row r="11" customFormat="false" ht="15" hidden="false" customHeight="false" outlineLevel="0" collapsed="false">
      <c r="A11" s="3" t="s">
        <v>11</v>
      </c>
      <c r="B11" s="3" t="s">
        <v>2</v>
      </c>
      <c r="C11" s="3" t="s">
        <v>3</v>
      </c>
      <c r="D11" s="3" t="s">
        <v>4</v>
      </c>
      <c r="E11" s="3" t="s">
        <v>5</v>
      </c>
    </row>
    <row r="12" customFormat="false" ht="15" hidden="false" customHeight="false" outlineLevel="0" collapsed="false">
      <c r="A12" s="4" t="s">
        <v>12</v>
      </c>
      <c r="B12" s="4" t="s">
        <v>6</v>
      </c>
      <c r="C12" s="6" t="n">
        <f aca="false">AVERAGE(Болгов!C12,Спицин!C12,Гуров!C12)</f>
        <v>7</v>
      </c>
      <c r="D12" s="6" t="n">
        <f aca="false">AVERAGE(Болгов!D12,Спицин!D12,Гуров!D12)</f>
        <v>8</v>
      </c>
      <c r="E12" s="6" t="n">
        <f aca="false">AVERAGE(Болгов!E12,Спицин!E12,Гуров!E12)</f>
        <v>9</v>
      </c>
    </row>
    <row r="13" customFormat="false" ht="15" hidden="false" customHeight="false" outlineLevel="0" collapsed="false">
      <c r="A13" s="4" t="s">
        <v>12</v>
      </c>
      <c r="B13" s="4" t="s">
        <v>7</v>
      </c>
      <c r="C13" s="6" t="n">
        <f aca="false">AVERAGE(Болгов!C13,Спицин!C13,Гуров!C13)</f>
        <v>4.33333333333333</v>
      </c>
      <c r="D13" s="6" t="n">
        <f aca="false">AVERAGE(Болгов!D13,Спицин!D13,Гуров!D13)</f>
        <v>5.33333333333333</v>
      </c>
      <c r="E13" s="6" t="n">
        <f aca="false">AVERAGE(Болгов!E13,Спицин!E13,Гуров!E13)</f>
        <v>6.66666666666667</v>
      </c>
    </row>
    <row r="14" customFormat="false" ht="15" hidden="false" customHeight="false" outlineLevel="0" collapsed="false">
      <c r="A14" s="4" t="s">
        <v>12</v>
      </c>
      <c r="B14" s="4" t="s">
        <v>8</v>
      </c>
      <c r="C14" s="6" t="n">
        <f aca="false">AVERAGE(Болгов!C14,Спицин!C14,Гуров!C14)</f>
        <v>3.33333333333333</v>
      </c>
      <c r="D14" s="6" t="n">
        <f aca="false">AVERAGE(Болгов!D14,Спицин!D14,Гуров!D14)</f>
        <v>4.66666666666667</v>
      </c>
      <c r="E14" s="6" t="n">
        <f aca="false">AVERAGE(Болгов!E14,Спицин!E14,Гуров!E14)</f>
        <v>5.66666666666667</v>
      </c>
    </row>
    <row r="15" customFormat="false" ht="15" hidden="false" customHeight="false" outlineLevel="0" collapsed="false">
      <c r="A15" s="4" t="s">
        <v>12</v>
      </c>
      <c r="B15" s="4" t="s">
        <v>9</v>
      </c>
      <c r="C15" s="6" t="n">
        <f aca="false">AVERAGE(Болгов!C15,Спицин!C15,Гуров!C15)</f>
        <v>6.66666666666667</v>
      </c>
      <c r="D15" s="6" t="n">
        <f aca="false">AVERAGE(Болгов!D15,Спицин!D15,Гуров!D15)</f>
        <v>8</v>
      </c>
      <c r="E15" s="6" t="n">
        <f aca="false">AVERAGE(Болгов!E15,Спицин!E15,Гуров!E15)</f>
        <v>9</v>
      </c>
    </row>
    <row r="16" customFormat="false" ht="15" hidden="false" customHeight="false" outlineLevel="0" collapsed="false">
      <c r="A16" s="4" t="s">
        <v>13</v>
      </c>
      <c r="B16" s="4" t="s">
        <v>6</v>
      </c>
      <c r="C16" s="6" t="n">
        <f aca="false">AVERAGE(Болгов!C16,Спицин!C16,Гуров!C16)</f>
        <v>3.66666666666667</v>
      </c>
      <c r="D16" s="6" t="n">
        <f aca="false">AVERAGE(Болгов!D16,Спицин!D16,Гуров!D16)</f>
        <v>5</v>
      </c>
      <c r="E16" s="6" t="n">
        <f aca="false">AVERAGE(Болгов!E16,Спицин!E16,Гуров!E16)</f>
        <v>6</v>
      </c>
    </row>
    <row r="17" customFormat="false" ht="15" hidden="false" customHeight="false" outlineLevel="0" collapsed="false">
      <c r="A17" s="4" t="s">
        <v>13</v>
      </c>
      <c r="B17" s="4" t="s">
        <v>7</v>
      </c>
      <c r="C17" s="6" t="n">
        <f aca="false">AVERAGE(Болгов!C17,Спицин!C17,Гуров!C17)</f>
        <v>3</v>
      </c>
      <c r="D17" s="6" t="n">
        <f aca="false">AVERAGE(Болгов!D17,Спицин!D17,Гуров!D17)</f>
        <v>4</v>
      </c>
      <c r="E17" s="6" t="n">
        <f aca="false">AVERAGE(Болгов!E17,Спицин!E17,Гуров!E17)</f>
        <v>5</v>
      </c>
    </row>
    <row r="18" customFormat="false" ht="15" hidden="false" customHeight="false" outlineLevel="0" collapsed="false">
      <c r="A18" s="4" t="s">
        <v>13</v>
      </c>
      <c r="B18" s="4" t="s">
        <v>8</v>
      </c>
      <c r="C18" s="6" t="n">
        <f aca="false">AVERAGE(Болгов!C18,Спицин!C18,Гуров!C18)</f>
        <v>5</v>
      </c>
      <c r="D18" s="6" t="n">
        <f aca="false">AVERAGE(Болгов!D18,Спицин!D18,Гуров!D18)</f>
        <v>6</v>
      </c>
      <c r="E18" s="6" t="n">
        <f aca="false">AVERAGE(Болгов!E18,Спицин!E18,Гуров!E18)</f>
        <v>7.33333333333333</v>
      </c>
    </row>
    <row r="19" customFormat="false" ht="15" hidden="false" customHeight="false" outlineLevel="0" collapsed="false">
      <c r="A19" s="4" t="s">
        <v>13</v>
      </c>
      <c r="B19" s="4" t="s">
        <v>9</v>
      </c>
      <c r="C19" s="6" t="n">
        <f aca="false">AVERAGE(Болгов!C19,Спицин!C19,Гуров!C19)</f>
        <v>4</v>
      </c>
      <c r="D19" s="6" t="n">
        <f aca="false">AVERAGE(Болгов!D19,Спицин!D19,Гуров!D19)</f>
        <v>5</v>
      </c>
      <c r="E19" s="6" t="n">
        <f aca="false">AVERAGE(Болгов!E19,Спицин!E19,Гуров!E19)</f>
        <v>6</v>
      </c>
    </row>
    <row r="20" customFormat="false" ht="15" hidden="false" customHeight="false" outlineLevel="0" collapsed="false">
      <c r="A20" s="4" t="s">
        <v>14</v>
      </c>
      <c r="B20" s="4" t="s">
        <v>6</v>
      </c>
      <c r="C20" s="6" t="n">
        <f aca="false">AVERAGE(Болгов!C20,Спицин!C20,Гуров!C20)</f>
        <v>6</v>
      </c>
      <c r="D20" s="6" t="n">
        <f aca="false">AVERAGE(Болгов!D20,Спицин!D20,Гуров!D20)</f>
        <v>7</v>
      </c>
      <c r="E20" s="6" t="n">
        <f aca="false">AVERAGE(Болгов!E20,Спицин!E20,Гуров!E20)</f>
        <v>8.33333333333333</v>
      </c>
    </row>
    <row r="21" customFormat="false" ht="15.75" hidden="false" customHeight="true" outlineLevel="0" collapsed="false">
      <c r="A21" s="4" t="s">
        <v>14</v>
      </c>
      <c r="B21" s="4" t="s">
        <v>7</v>
      </c>
      <c r="C21" s="6" t="n">
        <f aca="false">AVERAGE(Болгов!C21,Спицин!C21,Гуров!C21)</f>
        <v>2.66666666666667</v>
      </c>
      <c r="D21" s="6" t="n">
        <f aca="false">AVERAGE(Болгов!D21,Спицин!D21,Гуров!D21)</f>
        <v>3.66666666666667</v>
      </c>
      <c r="E21" s="6" t="n">
        <f aca="false">AVERAGE(Болгов!E21,Спицин!E21,Гуров!E21)</f>
        <v>5.33333333333333</v>
      </c>
    </row>
    <row r="22" customFormat="false" ht="15.75" hidden="false" customHeight="true" outlineLevel="0" collapsed="false">
      <c r="A22" s="4" t="s">
        <v>14</v>
      </c>
      <c r="B22" s="4" t="s">
        <v>8</v>
      </c>
      <c r="C22" s="6" t="n">
        <f aca="false">AVERAGE(Болгов!C22,Спицин!C22,Гуров!C22)</f>
        <v>4</v>
      </c>
      <c r="D22" s="6" t="n">
        <f aca="false">AVERAGE(Болгов!D22,Спицин!D22,Гуров!D22)</f>
        <v>5</v>
      </c>
      <c r="E22" s="6" t="n">
        <f aca="false">AVERAGE(Болгов!E22,Спицин!E22,Гуров!E22)</f>
        <v>6</v>
      </c>
    </row>
    <row r="23" customFormat="false" ht="15.75" hidden="false" customHeight="true" outlineLevel="0" collapsed="false">
      <c r="A23" s="4" t="s">
        <v>14</v>
      </c>
      <c r="B23" s="4" t="s">
        <v>9</v>
      </c>
      <c r="C23" s="6" t="n">
        <f aca="false">AVERAGE(Болгов!C23,Спицин!C23,Гуров!C23)</f>
        <v>3</v>
      </c>
      <c r="D23" s="6" t="n">
        <f aca="false">AVERAGE(Болгов!D23,Спицин!D23,Гуров!D23)</f>
        <v>4</v>
      </c>
      <c r="E23" s="6" t="n">
        <f aca="false">AVERAGE(Болгов!E23,Спицин!E23,Гуров!E23)</f>
        <v>5</v>
      </c>
    </row>
    <row r="24" customFormat="false" ht="15.75" hidden="false" customHeight="true" outlineLevel="0" collapsed="false">
      <c r="A24" s="4" t="s">
        <v>15</v>
      </c>
      <c r="B24" s="4" t="s">
        <v>6</v>
      </c>
      <c r="C24" s="6" t="n">
        <f aca="false">AVERAGE(Болгов!C24,Спицин!C24,Гуров!C24)</f>
        <v>4.66666666666667</v>
      </c>
      <c r="D24" s="6" t="n">
        <f aca="false">AVERAGE(Болгов!D24,Спицин!D24,Гуров!D24)</f>
        <v>6</v>
      </c>
      <c r="E24" s="6" t="n">
        <f aca="false">AVERAGE(Болгов!E24,Спицин!E24,Гуров!E24)</f>
        <v>7.33333333333333</v>
      </c>
    </row>
    <row r="25" customFormat="false" ht="15.75" hidden="false" customHeight="true" outlineLevel="0" collapsed="false">
      <c r="A25" s="4" t="s">
        <v>15</v>
      </c>
      <c r="B25" s="4" t="s">
        <v>7</v>
      </c>
      <c r="C25" s="6" t="n">
        <f aca="false">AVERAGE(Болгов!C25,Спицин!C25,Гуров!C25)</f>
        <v>7</v>
      </c>
      <c r="D25" s="6" t="n">
        <f aca="false">AVERAGE(Болгов!D25,Спицин!D25,Гуров!D25)</f>
        <v>8</v>
      </c>
      <c r="E25" s="6" t="n">
        <f aca="false">AVERAGE(Болгов!E25,Спицин!E25,Гуров!E25)</f>
        <v>9</v>
      </c>
    </row>
    <row r="26" customFormat="false" ht="15.75" hidden="false" customHeight="true" outlineLevel="0" collapsed="false">
      <c r="A26" s="4" t="s">
        <v>15</v>
      </c>
      <c r="B26" s="4" t="s">
        <v>8</v>
      </c>
      <c r="C26" s="6" t="n">
        <f aca="false">AVERAGE(Болгов!C26,Спицин!C26,Гуров!C26)</f>
        <v>6.66666666666667</v>
      </c>
      <c r="D26" s="6" t="n">
        <f aca="false">AVERAGE(Болгов!D26,Спицин!D26,Гуров!D26)</f>
        <v>7.66666666666667</v>
      </c>
      <c r="E26" s="6" t="n">
        <f aca="false">AVERAGE(Болгов!E26,Спицин!E26,Гуров!E26)</f>
        <v>8.66666666666667</v>
      </c>
    </row>
    <row r="27" customFormat="false" ht="15.75" hidden="false" customHeight="true" outlineLevel="0" collapsed="false">
      <c r="A27" s="4" t="s">
        <v>15</v>
      </c>
      <c r="B27" s="4" t="s">
        <v>9</v>
      </c>
      <c r="C27" s="6" t="n">
        <f aca="false">AVERAGE(Болгов!C27,Спицин!C27,Гуров!C27)</f>
        <v>4.66666666666667</v>
      </c>
      <c r="D27" s="6" t="n">
        <f aca="false">AVERAGE(Болгов!D27,Спицин!D27,Гуров!D27)</f>
        <v>6</v>
      </c>
      <c r="E27" s="6" t="n">
        <f aca="false">AVERAGE(Болгов!E27,Спицин!E27,Гуров!E27)</f>
        <v>7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3"/>
  </cols>
  <sheetData>
    <row r="1" customFormat="false" ht="17.35" hidden="false" customHeight="false" outlineLevel="0" collapsed="false">
      <c r="A1" s="7" t="s">
        <v>19</v>
      </c>
    </row>
    <row r="3" customFormat="false" ht="15" hidden="false" customHeight="false" outlineLevel="0" collapsed="false">
      <c r="A3" s="8" t="s">
        <v>20</v>
      </c>
      <c r="B3" s="5" t="n">
        <v>9</v>
      </c>
    </row>
    <row r="5" customFormat="false" ht="15" hidden="false" customHeight="false" outlineLevel="0" collapsed="false">
      <c r="A5" s="9" t="s">
        <v>21</v>
      </c>
    </row>
    <row r="6" customFormat="false" ht="15" hidden="false" customHeight="false" outlineLevel="0" collapsed="false">
      <c r="A6" s="10" t="s">
        <v>2</v>
      </c>
      <c r="B6" s="10" t="s">
        <v>22</v>
      </c>
      <c r="C6" s="10" t="s">
        <v>23</v>
      </c>
      <c r="D6" s="10" t="s">
        <v>24</v>
      </c>
      <c r="E6" s="10" t="s">
        <v>25</v>
      </c>
      <c r="F6" s="10" t="s">
        <v>26</v>
      </c>
      <c r="G6" s="10" t="s">
        <v>27</v>
      </c>
    </row>
    <row r="7" customFormat="false" ht="15" hidden="false" customHeight="false" outlineLevel="0" collapsed="false">
      <c r="A7" s="8" t="s">
        <v>6</v>
      </c>
      <c r="B7" s="11" t="n">
        <f aca="false">MIN(Болгов!B5,Спицин!B5,Гуров!B5)</f>
        <v>5</v>
      </c>
      <c r="C7" s="11" t="n">
        <f aca="false">AVERAGE(Болгов!C5,Спицин!C5,Гуров!C5)</f>
        <v>6.66666666666667</v>
      </c>
      <c r="D7" s="11" t="n">
        <f aca="false">MAX(Болгов!D5,Спицин!D5,Гуров!D5)</f>
        <v>8</v>
      </c>
      <c r="E7" s="12" t="n">
        <f aca="false">B7/$B$3</f>
        <v>0.555555555555556</v>
      </c>
      <c r="F7" s="12" t="n">
        <f aca="false">C7/$B$3</f>
        <v>0.740740740740741</v>
      </c>
      <c r="G7" s="12" t="n">
        <f aca="false">D7/$B$3</f>
        <v>0.888888888888889</v>
      </c>
    </row>
    <row r="8" customFormat="false" ht="15" hidden="false" customHeight="false" outlineLevel="0" collapsed="false">
      <c r="A8" s="8" t="s">
        <v>7</v>
      </c>
      <c r="B8" s="11" t="n">
        <f aca="false">MIN(Болгов!B6,Спицин!B6,Гуров!B6)</f>
        <v>6</v>
      </c>
      <c r="C8" s="11" t="n">
        <f aca="false">AVERAGE(Болгов!C6,Спицин!C6,Гуров!C6)</f>
        <v>7.66666666666667</v>
      </c>
      <c r="D8" s="11" t="n">
        <f aca="false">MAX(Болгов!D6,Спицин!D6,Гуров!D6)</f>
        <v>9</v>
      </c>
      <c r="E8" s="12" t="n">
        <f aca="false">B8/$B$3</f>
        <v>0.666666666666667</v>
      </c>
      <c r="F8" s="12" t="n">
        <f aca="false">C8/$B$3</f>
        <v>0.851851851851852</v>
      </c>
      <c r="G8" s="12" t="n">
        <f aca="false">D8/$B$3</f>
        <v>1</v>
      </c>
    </row>
    <row r="9" customFormat="false" ht="15" hidden="false" customHeight="false" outlineLevel="0" collapsed="false">
      <c r="A9" s="8" t="s">
        <v>8</v>
      </c>
      <c r="B9" s="11" t="n">
        <f aca="false">MIN(Болгов!B7,Спицин!B7,Гуров!B7)</f>
        <v>4</v>
      </c>
      <c r="C9" s="11" t="n">
        <f aca="false">AVERAGE(Болгов!C7,Спицин!C7,Гуров!C7)</f>
        <v>6</v>
      </c>
      <c r="D9" s="11" t="n">
        <f aca="false">MAX(Болгов!D7,Спицин!D7,Гуров!D7)</f>
        <v>8</v>
      </c>
      <c r="E9" s="12" t="n">
        <f aca="false">B9/$B$3</f>
        <v>0.444444444444444</v>
      </c>
      <c r="F9" s="12" t="n">
        <f aca="false">C9/$B$3</f>
        <v>0.666666666666667</v>
      </c>
      <c r="G9" s="12" t="n">
        <f aca="false">D9/$B$3</f>
        <v>0.888888888888889</v>
      </c>
    </row>
    <row r="10" customFormat="false" ht="15" hidden="false" customHeight="false" outlineLevel="0" collapsed="false">
      <c r="A10" s="8" t="s">
        <v>9</v>
      </c>
      <c r="B10" s="11" t="n">
        <f aca="false">MIN(Болгов!B8,Спицин!B8,Гуров!B8)</f>
        <v>2</v>
      </c>
      <c r="C10" s="11" t="n">
        <f aca="false">AVERAGE(Болгов!C8,Спицин!C8,Гуров!C8)</f>
        <v>4</v>
      </c>
      <c r="D10" s="11" t="n">
        <f aca="false">MAX(Болгов!D8,Спицин!D8,Гуров!D8)</f>
        <v>6</v>
      </c>
      <c r="E10" s="12" t="n">
        <f aca="false">B10/$B$3</f>
        <v>0.222222222222222</v>
      </c>
      <c r="F10" s="12" t="n">
        <f aca="false">C10/$B$3</f>
        <v>0.444444444444444</v>
      </c>
      <c r="G10" s="12" t="n">
        <f aca="false">D10/$B$3</f>
        <v>0.666666666666667</v>
      </c>
    </row>
    <row r="12" customFormat="false" ht="15" hidden="false" customHeight="false" outlineLevel="0" collapsed="false">
      <c r="A12" s="9" t="s">
        <v>28</v>
      </c>
    </row>
    <row r="13" customFormat="false" ht="15" hidden="false" customHeight="true" outlineLevel="0" collapsed="false">
      <c r="A13" s="10" t="s">
        <v>11</v>
      </c>
      <c r="B13" s="10" t="s">
        <v>6</v>
      </c>
      <c r="C13" s="10"/>
      <c r="D13" s="10"/>
      <c r="E13" s="10" t="s">
        <v>7</v>
      </c>
      <c r="F13" s="10"/>
      <c r="G13" s="10"/>
      <c r="H13" s="10" t="s">
        <v>8</v>
      </c>
      <c r="I13" s="10"/>
      <c r="J13" s="10"/>
      <c r="K13" s="10" t="s">
        <v>9</v>
      </c>
      <c r="L13" s="10"/>
      <c r="M13" s="10"/>
    </row>
    <row r="14" customFormat="false" ht="15" hidden="false" customHeight="false" outlineLevel="0" collapsed="false">
      <c r="A14" s="10"/>
      <c r="B14" s="10" t="s">
        <v>29</v>
      </c>
      <c r="C14" s="10" t="s">
        <v>30</v>
      </c>
      <c r="D14" s="10" t="s">
        <v>31</v>
      </c>
      <c r="E14" s="10" t="s">
        <v>29</v>
      </c>
      <c r="F14" s="10" t="s">
        <v>30</v>
      </c>
      <c r="G14" s="10" t="s">
        <v>31</v>
      </c>
      <c r="H14" s="10" t="s">
        <v>29</v>
      </c>
      <c r="I14" s="10" t="s">
        <v>30</v>
      </c>
      <c r="J14" s="10" t="s">
        <v>31</v>
      </c>
      <c r="K14" s="10" t="s">
        <v>29</v>
      </c>
      <c r="L14" s="10" t="s">
        <v>30</v>
      </c>
      <c r="M14" s="10" t="s">
        <v>31</v>
      </c>
    </row>
    <row r="15" customFormat="false" ht="15" hidden="false" customHeight="false" outlineLevel="0" collapsed="false">
      <c r="A15" s="8" t="s">
        <v>12</v>
      </c>
      <c r="B15" s="11" t="n">
        <f aca="false">MIN(Болгов!C12,Спицин!C12,Гуров!C12)</f>
        <v>7</v>
      </c>
      <c r="C15" s="11" t="n">
        <f aca="false">AVERAGE(Болгов!D12,Спицин!D12,Гуров!D12)</f>
        <v>8</v>
      </c>
      <c r="D15" s="11" t="n">
        <f aca="false">MAX(Болгов!E12,Спицин!E12,Гуров!E12)</f>
        <v>9</v>
      </c>
      <c r="E15" s="11" t="n">
        <f aca="false">MIN(Болгов!C13,Спицин!C13,Гуров!C13)</f>
        <v>4</v>
      </c>
      <c r="F15" s="11" t="n">
        <f aca="false">AVERAGE(Болгов!D13,Спицин!D13,Гуров!D13)</f>
        <v>5.33333333333333</v>
      </c>
      <c r="G15" s="11" t="n">
        <f aca="false">MAX(Болгов!E13,Спицин!E13,Гуров!E13)</f>
        <v>7</v>
      </c>
      <c r="H15" s="11" t="n">
        <f aca="false">MIN(Болгов!C14,Спицин!C14,Гуров!C14)</f>
        <v>3</v>
      </c>
      <c r="I15" s="11" t="n">
        <f aca="false">AVERAGE(Болгов!D14,Спицин!D14,Гуров!D14)</f>
        <v>4.66666666666667</v>
      </c>
      <c r="J15" s="11" t="n">
        <f aca="false">MAX(Болгов!E14,Спицин!E14,Гуров!E14)</f>
        <v>6</v>
      </c>
      <c r="K15" s="11" t="n">
        <f aca="false">MIN(Болгов!C15,Спицин!C15,Гуров!C15)</f>
        <v>6</v>
      </c>
      <c r="L15" s="11" t="n">
        <f aca="false">AVERAGE(Болгов!D15,Спицин!D15,Гуров!D15)</f>
        <v>8</v>
      </c>
      <c r="M15" s="11" t="n">
        <f aca="false">MAX(Болгов!E15,Спицин!E15,Гуров!E15)</f>
        <v>9</v>
      </c>
    </row>
    <row r="16" customFormat="false" ht="15" hidden="false" customHeight="false" outlineLevel="0" collapsed="false">
      <c r="A16" s="8" t="s">
        <v>13</v>
      </c>
      <c r="B16" s="11" t="n">
        <f aca="false">MIN(Болгов!C16,Спицин!C16,Гуров!C16)</f>
        <v>3</v>
      </c>
      <c r="C16" s="11" t="n">
        <f aca="false">AVERAGE(Болгов!D16,Спицин!D16,Гуров!D16)</f>
        <v>5</v>
      </c>
      <c r="D16" s="11" t="n">
        <f aca="false">MAX(Болгов!E16,Спицин!E16,Гуров!E16)</f>
        <v>6</v>
      </c>
      <c r="E16" s="11" t="n">
        <f aca="false">MIN(Болгов!C17,Спицин!C17,Гуров!C17)</f>
        <v>3</v>
      </c>
      <c r="F16" s="11" t="n">
        <f aca="false">AVERAGE(Болгов!D17,Спицин!D17,Гуров!D17)</f>
        <v>4</v>
      </c>
      <c r="G16" s="11" t="n">
        <f aca="false">MAX(Болгов!E17,Спицин!E17,Гуров!E17)</f>
        <v>5</v>
      </c>
      <c r="H16" s="11" t="n">
        <f aca="false">MIN(Болгов!C18,Спицин!C18,Гуров!C18)</f>
        <v>5</v>
      </c>
      <c r="I16" s="11" t="n">
        <f aca="false">AVERAGE(Болгов!D18,Спицин!D18,Гуров!D18)</f>
        <v>6</v>
      </c>
      <c r="J16" s="11" t="n">
        <f aca="false">MAX(Болгов!E18,Спицин!E18,Гуров!E18)</f>
        <v>8</v>
      </c>
      <c r="K16" s="11" t="n">
        <f aca="false">MIN(Болгов!C19,Спицин!C19,Гуров!C19)</f>
        <v>4</v>
      </c>
      <c r="L16" s="11" t="n">
        <f aca="false">AVERAGE(Болгов!D19,Спицин!D19,Гуров!D19)</f>
        <v>5</v>
      </c>
      <c r="M16" s="11" t="n">
        <f aca="false">MAX(Болгов!E19,Спицин!E19,Гуров!E19)</f>
        <v>6</v>
      </c>
    </row>
    <row r="17" customFormat="false" ht="15" hidden="false" customHeight="false" outlineLevel="0" collapsed="false">
      <c r="A17" s="8" t="s">
        <v>14</v>
      </c>
      <c r="B17" s="11" t="n">
        <f aca="false">MIN(Болгов!C20,Спицин!C20,Гуров!C20)</f>
        <v>6</v>
      </c>
      <c r="C17" s="11" t="n">
        <f aca="false">AVERAGE(Болгов!D20,Спицин!D20,Гуров!D20)</f>
        <v>7</v>
      </c>
      <c r="D17" s="11" t="n">
        <f aca="false">MAX(Болгов!E20,Спицин!E20,Гуров!E20)</f>
        <v>9</v>
      </c>
      <c r="E17" s="11" t="n">
        <f aca="false">MIN(Болгов!C21,Спицин!C21,Гуров!C21)</f>
        <v>2</v>
      </c>
      <c r="F17" s="11" t="n">
        <f aca="false">AVERAGE(Болгов!D21,Спицин!D21,Гуров!D21)</f>
        <v>3.66666666666667</v>
      </c>
      <c r="G17" s="11" t="n">
        <f aca="false">MAX(Болгов!E21,Спицин!E21,Гуров!E21)</f>
        <v>6</v>
      </c>
      <c r="H17" s="11" t="n">
        <f aca="false">MIN(Болгов!C22,Спицин!C22,Гуров!C22)</f>
        <v>4</v>
      </c>
      <c r="I17" s="11" t="n">
        <f aca="false">AVERAGE(Болгов!D22,Спицин!D22,Гуров!D22)</f>
        <v>5</v>
      </c>
      <c r="J17" s="11" t="n">
        <f aca="false">MAX(Болгов!E22,Спицин!E22,Гуров!E22)</f>
        <v>6</v>
      </c>
      <c r="K17" s="11" t="n">
        <f aca="false">MIN(Болгов!C23,Спицин!C23,Гуров!C23)</f>
        <v>3</v>
      </c>
      <c r="L17" s="11" t="n">
        <f aca="false">AVERAGE(Болгов!D23,Спицин!D23,Гуров!D23)</f>
        <v>4</v>
      </c>
      <c r="M17" s="11" t="n">
        <f aca="false">MAX(Болгов!E23,Спицин!E23,Гуров!E23)</f>
        <v>5</v>
      </c>
    </row>
    <row r="18" customFormat="false" ht="15" hidden="false" customHeight="false" outlineLevel="0" collapsed="false">
      <c r="A18" s="8" t="s">
        <v>15</v>
      </c>
      <c r="B18" s="11" t="n">
        <f aca="false">MIN(Болгов!C24,Спицин!C24,Гуров!C24)</f>
        <v>4</v>
      </c>
      <c r="C18" s="11" t="n">
        <f aca="false">AVERAGE(Болгов!D24,Спицин!D24,Гуров!D24)</f>
        <v>6</v>
      </c>
      <c r="D18" s="11" t="n">
        <f aca="false">MAX(Болгов!E24,Спицин!E24,Гуров!E24)</f>
        <v>8</v>
      </c>
      <c r="E18" s="11" t="n">
        <f aca="false">MIN(Болгов!C25,Спицин!C25,Гуров!C25)</f>
        <v>7</v>
      </c>
      <c r="F18" s="11" t="n">
        <f aca="false">AVERAGE(Болгов!D25,Спицин!D25,Гуров!D25)</f>
        <v>8</v>
      </c>
      <c r="G18" s="11" t="n">
        <f aca="false">MAX(Болгов!E25,Спицин!E25,Гуров!E25)</f>
        <v>9</v>
      </c>
      <c r="H18" s="11" t="n">
        <f aca="false">MIN(Болгов!C26,Спицин!C26,Гуров!C26)</f>
        <v>6</v>
      </c>
      <c r="I18" s="11" t="n">
        <f aca="false">AVERAGE(Болгов!D26,Спицин!D26,Гуров!D26)</f>
        <v>7.66666666666667</v>
      </c>
      <c r="J18" s="11" t="n">
        <f aca="false">MAX(Болгов!E26,Спицин!E26,Гуров!E26)</f>
        <v>9</v>
      </c>
      <c r="K18" s="11" t="n">
        <f aca="false">MIN(Болгов!C27,Спицин!C27,Гуров!C27)</f>
        <v>4</v>
      </c>
      <c r="L18" s="11" t="n">
        <f aca="false">AVERAGE(Болгов!D27,Спицин!D27,Гуров!D27)</f>
        <v>6</v>
      </c>
      <c r="M18" s="11" t="n">
        <f aca="false">MAX(Болгов!E27,Спицин!E27,Гуров!E27)</f>
        <v>7</v>
      </c>
    </row>
    <row r="19" customFormat="false" ht="15" hidden="false" customHeight="false" outlineLevel="0" collapsed="false">
      <c r="A19" s="13" t="s">
        <v>32</v>
      </c>
      <c r="B19" s="14" t="n">
        <f aca="false">MAX($D$15:$D$18)</f>
        <v>9</v>
      </c>
      <c r="C19" s="14" t="n">
        <f aca="false">MAX($D$15:$D$18)</f>
        <v>9</v>
      </c>
      <c r="D19" s="14" t="n">
        <f aca="false">MAX($D$15:$D$18)</f>
        <v>9</v>
      </c>
      <c r="E19" s="14" t="n">
        <f aca="false">MAX($G$15:$G$18)</f>
        <v>9</v>
      </c>
      <c r="F19" s="14" t="n">
        <f aca="false">MAX($G$15:$G$18)</f>
        <v>9</v>
      </c>
      <c r="G19" s="14" t="n">
        <f aca="false">MAX($G$15:$G$18)</f>
        <v>9</v>
      </c>
      <c r="H19" s="14" t="n">
        <f aca="false">MAX($J$15:$J$18)</f>
        <v>9</v>
      </c>
      <c r="I19" s="14" t="n">
        <f aca="false">MAX($J$15:$J$18)</f>
        <v>9</v>
      </c>
      <c r="J19" s="14" t="n">
        <f aca="false">MAX($J$15:$J$18)</f>
        <v>9</v>
      </c>
      <c r="K19" s="14" t="n">
        <f aca="false">MAX($M$15:$M$18)</f>
        <v>9</v>
      </c>
      <c r="L19" s="14" t="n">
        <f aca="false">MAX($M$15:$M$18)</f>
        <v>9</v>
      </c>
      <c r="M19" s="14" t="n">
        <f aca="false">MAX($M$15:$M$18)</f>
        <v>9</v>
      </c>
    </row>
    <row r="21" customFormat="false" ht="15" hidden="false" customHeight="false" outlineLevel="0" collapsed="false">
      <c r="A21" s="9" t="s">
        <v>33</v>
      </c>
    </row>
    <row r="22" customFormat="false" ht="15" hidden="false" customHeight="true" outlineLevel="0" collapsed="false">
      <c r="A22" s="10" t="s">
        <v>11</v>
      </c>
      <c r="B22" s="10" t="s">
        <v>6</v>
      </c>
      <c r="C22" s="10"/>
      <c r="D22" s="10"/>
      <c r="E22" s="10" t="s">
        <v>7</v>
      </c>
      <c r="F22" s="10"/>
      <c r="G22" s="10"/>
      <c r="H22" s="10" t="s">
        <v>8</v>
      </c>
      <c r="I22" s="10"/>
      <c r="J22" s="10"/>
      <c r="K22" s="10" t="s">
        <v>9</v>
      </c>
      <c r="L22" s="10"/>
      <c r="M22" s="10"/>
    </row>
    <row r="23" customFormat="false" ht="15" hidden="false" customHeight="false" outlineLevel="0" collapsed="false">
      <c r="A23" s="10"/>
      <c r="B23" s="10" t="s">
        <v>29</v>
      </c>
      <c r="C23" s="10" t="s">
        <v>30</v>
      </c>
      <c r="D23" s="10" t="s">
        <v>31</v>
      </c>
      <c r="E23" s="10" t="s">
        <v>29</v>
      </c>
      <c r="F23" s="10" t="s">
        <v>30</v>
      </c>
      <c r="G23" s="10" t="s">
        <v>31</v>
      </c>
      <c r="H23" s="10" t="s">
        <v>29</v>
      </c>
      <c r="I23" s="10" t="s">
        <v>30</v>
      </c>
      <c r="J23" s="10" t="s">
        <v>31</v>
      </c>
      <c r="K23" s="10" t="s">
        <v>29</v>
      </c>
      <c r="L23" s="10" t="s">
        <v>30</v>
      </c>
      <c r="M23" s="10" t="s">
        <v>31</v>
      </c>
    </row>
    <row r="24" customFormat="false" ht="15" hidden="false" customHeight="false" outlineLevel="0" collapsed="false">
      <c r="A24" s="8" t="s">
        <v>12</v>
      </c>
      <c r="B24" s="12" t="n">
        <f aca="false">B15/B$19</f>
        <v>0.777777777777778</v>
      </c>
      <c r="C24" s="12" t="n">
        <f aca="false">C15/C$19</f>
        <v>0.888888888888889</v>
      </c>
      <c r="D24" s="12" t="n">
        <f aca="false">D15/D$19</f>
        <v>1</v>
      </c>
      <c r="E24" s="12" t="n">
        <f aca="false">E15/E$19</f>
        <v>0.444444444444444</v>
      </c>
      <c r="F24" s="12" t="n">
        <f aca="false">F15/F$19</f>
        <v>0.592592592592593</v>
      </c>
      <c r="G24" s="12" t="n">
        <f aca="false">G15/G$19</f>
        <v>0.777777777777778</v>
      </c>
      <c r="H24" s="12" t="n">
        <f aca="false">H15/H$19</f>
        <v>0.333333333333333</v>
      </c>
      <c r="I24" s="12" t="n">
        <f aca="false">I15/I$19</f>
        <v>0.518518518518519</v>
      </c>
      <c r="J24" s="12" t="n">
        <f aca="false">J15/J$19</f>
        <v>0.666666666666667</v>
      </c>
      <c r="K24" s="12" t="n">
        <f aca="false">K15/K$19</f>
        <v>0.666666666666667</v>
      </c>
      <c r="L24" s="12" t="n">
        <f aca="false">L15/L$19</f>
        <v>0.888888888888889</v>
      </c>
      <c r="M24" s="12" t="n">
        <f aca="false">M15/M$19</f>
        <v>1</v>
      </c>
    </row>
    <row r="25" customFormat="false" ht="15" hidden="false" customHeight="false" outlineLevel="0" collapsed="false">
      <c r="A25" s="8" t="s">
        <v>13</v>
      </c>
      <c r="B25" s="12" t="n">
        <f aca="false">B16/B$19</f>
        <v>0.333333333333333</v>
      </c>
      <c r="C25" s="12" t="n">
        <f aca="false">C16/C$19</f>
        <v>0.555555555555556</v>
      </c>
      <c r="D25" s="12" t="n">
        <f aca="false">D16/D$19</f>
        <v>0.666666666666667</v>
      </c>
      <c r="E25" s="12" t="n">
        <f aca="false">E16/E$19</f>
        <v>0.333333333333333</v>
      </c>
      <c r="F25" s="12" t="n">
        <f aca="false">F16/F$19</f>
        <v>0.444444444444444</v>
      </c>
      <c r="G25" s="12" t="n">
        <f aca="false">G16/G$19</f>
        <v>0.555555555555556</v>
      </c>
      <c r="H25" s="12" t="n">
        <f aca="false">H16/H$19</f>
        <v>0.555555555555556</v>
      </c>
      <c r="I25" s="12" t="n">
        <f aca="false">I16/I$19</f>
        <v>0.666666666666667</v>
      </c>
      <c r="J25" s="12" t="n">
        <f aca="false">J16/J$19</f>
        <v>0.888888888888889</v>
      </c>
      <c r="K25" s="12" t="n">
        <f aca="false">K16/K$19</f>
        <v>0.444444444444444</v>
      </c>
      <c r="L25" s="12" t="n">
        <f aca="false">L16/L$19</f>
        <v>0.555555555555556</v>
      </c>
      <c r="M25" s="12" t="n">
        <f aca="false">M16/M$19</f>
        <v>0.666666666666667</v>
      </c>
    </row>
    <row r="26" customFormat="false" ht="15" hidden="false" customHeight="false" outlineLevel="0" collapsed="false">
      <c r="A26" s="8" t="s">
        <v>14</v>
      </c>
      <c r="B26" s="12" t="n">
        <f aca="false">B17/B$19</f>
        <v>0.666666666666667</v>
      </c>
      <c r="C26" s="12" t="n">
        <f aca="false">C17/C$19</f>
        <v>0.777777777777778</v>
      </c>
      <c r="D26" s="12" t="n">
        <f aca="false">D17/D$19</f>
        <v>1</v>
      </c>
      <c r="E26" s="12" t="n">
        <f aca="false">E17/E$19</f>
        <v>0.222222222222222</v>
      </c>
      <c r="F26" s="12" t="n">
        <f aca="false">F17/F$19</f>
        <v>0.407407407407407</v>
      </c>
      <c r="G26" s="12" t="n">
        <f aca="false">G17/G$19</f>
        <v>0.666666666666667</v>
      </c>
      <c r="H26" s="12" t="n">
        <f aca="false">H17/H$19</f>
        <v>0.444444444444444</v>
      </c>
      <c r="I26" s="12" t="n">
        <f aca="false">I17/I$19</f>
        <v>0.555555555555556</v>
      </c>
      <c r="J26" s="12" t="n">
        <f aca="false">J17/J$19</f>
        <v>0.666666666666667</v>
      </c>
      <c r="K26" s="12" t="n">
        <f aca="false">K17/K$19</f>
        <v>0.333333333333333</v>
      </c>
      <c r="L26" s="12" t="n">
        <f aca="false">L17/L$19</f>
        <v>0.444444444444444</v>
      </c>
      <c r="M26" s="12" t="n">
        <f aca="false">M17/M$19</f>
        <v>0.555555555555556</v>
      </c>
    </row>
    <row r="27" customFormat="false" ht="15" hidden="false" customHeight="false" outlineLevel="0" collapsed="false">
      <c r="A27" s="8" t="s">
        <v>15</v>
      </c>
      <c r="B27" s="12" t="n">
        <f aca="false">B18/B$19</f>
        <v>0.444444444444444</v>
      </c>
      <c r="C27" s="12" t="n">
        <f aca="false">C18/C$19</f>
        <v>0.666666666666667</v>
      </c>
      <c r="D27" s="12" t="n">
        <f aca="false">D18/D$19</f>
        <v>0.888888888888889</v>
      </c>
      <c r="E27" s="12" t="n">
        <f aca="false">E18/E$19</f>
        <v>0.777777777777778</v>
      </c>
      <c r="F27" s="12" t="n">
        <f aca="false">F18/F$19</f>
        <v>0.888888888888889</v>
      </c>
      <c r="G27" s="12" t="n">
        <f aca="false">G18/G$19</f>
        <v>1</v>
      </c>
      <c r="H27" s="12" t="n">
        <f aca="false">H18/H$19</f>
        <v>0.666666666666667</v>
      </c>
      <c r="I27" s="12" t="n">
        <f aca="false">I18/I$19</f>
        <v>0.851851851851852</v>
      </c>
      <c r="J27" s="12" t="n">
        <f aca="false">J18/J$19</f>
        <v>1</v>
      </c>
      <c r="K27" s="12" t="n">
        <f aca="false">K18/K$19</f>
        <v>0.444444444444444</v>
      </c>
      <c r="L27" s="12" t="n">
        <f aca="false">L18/L$19</f>
        <v>0.666666666666667</v>
      </c>
      <c r="M27" s="12" t="n">
        <f aca="false">M18/M$19</f>
        <v>0.777777777777778</v>
      </c>
    </row>
    <row r="29" customFormat="false" ht="15" hidden="false" customHeight="false" outlineLevel="0" collapsed="false">
      <c r="A29" s="9" t="s">
        <v>34</v>
      </c>
    </row>
    <row r="30" customFormat="false" ht="15" hidden="false" customHeight="true" outlineLevel="0" collapsed="false">
      <c r="A30" s="10" t="s">
        <v>11</v>
      </c>
      <c r="B30" s="10" t="s">
        <v>6</v>
      </c>
      <c r="C30" s="10"/>
      <c r="D30" s="10"/>
      <c r="E30" s="10" t="s">
        <v>7</v>
      </c>
      <c r="F30" s="10"/>
      <c r="G30" s="10"/>
      <c r="H30" s="10" t="s">
        <v>8</v>
      </c>
      <c r="I30" s="10"/>
      <c r="J30" s="10"/>
      <c r="K30" s="10" t="s">
        <v>9</v>
      </c>
      <c r="L30" s="10"/>
      <c r="M30" s="10"/>
    </row>
    <row r="31" customFormat="false" ht="15" hidden="false" customHeight="false" outlineLevel="0" collapsed="false">
      <c r="A31" s="10"/>
      <c r="B31" s="10" t="s">
        <v>29</v>
      </c>
      <c r="C31" s="10" t="s">
        <v>30</v>
      </c>
      <c r="D31" s="10" t="s">
        <v>31</v>
      </c>
      <c r="E31" s="10" t="s">
        <v>29</v>
      </c>
      <c r="F31" s="10" t="s">
        <v>30</v>
      </c>
      <c r="G31" s="10" t="s">
        <v>31</v>
      </c>
      <c r="H31" s="10" t="s">
        <v>29</v>
      </c>
      <c r="I31" s="10" t="s">
        <v>30</v>
      </c>
      <c r="J31" s="10" t="s">
        <v>31</v>
      </c>
      <c r="K31" s="10" t="s">
        <v>29</v>
      </c>
      <c r="L31" s="10" t="s">
        <v>30</v>
      </c>
      <c r="M31" s="10" t="s">
        <v>31</v>
      </c>
    </row>
    <row r="32" customFormat="false" ht="15" hidden="false" customHeight="false" outlineLevel="0" collapsed="false">
      <c r="A32" s="8" t="s">
        <v>12</v>
      </c>
      <c r="B32" s="12" t="n">
        <f aca="false">B24*$E$7</f>
        <v>0.432098765432099</v>
      </c>
      <c r="C32" s="12" t="n">
        <f aca="false">C24*$F$7</f>
        <v>0.65843621399177</v>
      </c>
      <c r="D32" s="12" t="n">
        <f aca="false">D24*$G$7</f>
        <v>0.888888888888889</v>
      </c>
      <c r="E32" s="12" t="n">
        <f aca="false">E24*$E$8</f>
        <v>0.296296296296296</v>
      </c>
      <c r="F32" s="12" t="n">
        <f aca="false">F24*$F$8</f>
        <v>0.50480109739369</v>
      </c>
      <c r="G32" s="12" t="n">
        <f aca="false">G24*$G$8</f>
        <v>0.777777777777778</v>
      </c>
      <c r="H32" s="12" t="n">
        <f aca="false">H24*$E$9</f>
        <v>0.148148148148148</v>
      </c>
      <c r="I32" s="12" t="n">
        <f aca="false">I24*$F$9</f>
        <v>0.345679012345679</v>
      </c>
      <c r="J32" s="12" t="n">
        <f aca="false">J24*$G$9</f>
        <v>0.592592592592593</v>
      </c>
      <c r="K32" s="12" t="n">
        <f aca="false">K24*$E$10</f>
        <v>0.148148148148148</v>
      </c>
      <c r="L32" s="12" t="n">
        <f aca="false">L24*$F$10</f>
        <v>0.395061728395062</v>
      </c>
      <c r="M32" s="12" t="n">
        <f aca="false">M24*$G$10</f>
        <v>0.666666666666667</v>
      </c>
    </row>
    <row r="33" customFormat="false" ht="15" hidden="false" customHeight="false" outlineLevel="0" collapsed="false">
      <c r="A33" s="8" t="s">
        <v>13</v>
      </c>
      <c r="B33" s="12" t="n">
        <f aca="false">B25*$E$7</f>
        <v>0.185185185185185</v>
      </c>
      <c r="C33" s="12" t="n">
        <f aca="false">C25*$F$7</f>
        <v>0.411522633744856</v>
      </c>
      <c r="D33" s="12" t="n">
        <f aca="false">D25*$G$7</f>
        <v>0.592592592592593</v>
      </c>
      <c r="E33" s="12" t="n">
        <f aca="false">E25*$E$8</f>
        <v>0.222222222222222</v>
      </c>
      <c r="F33" s="12" t="n">
        <f aca="false">F25*$F$8</f>
        <v>0.378600823045268</v>
      </c>
      <c r="G33" s="12" t="n">
        <f aca="false">G25*$G$8</f>
        <v>0.555555555555556</v>
      </c>
      <c r="H33" s="12" t="n">
        <f aca="false">H25*$E$9</f>
        <v>0.246913580246914</v>
      </c>
      <c r="I33" s="12" t="n">
        <f aca="false">I25*$F$9</f>
        <v>0.444444444444444</v>
      </c>
      <c r="J33" s="12" t="n">
        <f aca="false">J25*$G$9</f>
        <v>0.790123456790123</v>
      </c>
      <c r="K33" s="12" t="n">
        <f aca="false">K25*$E$10</f>
        <v>0.0987654320987654</v>
      </c>
      <c r="L33" s="12" t="n">
        <f aca="false">L25*$F$10</f>
        <v>0.246913580246914</v>
      </c>
      <c r="M33" s="12" t="n">
        <f aca="false">M25*$G$10</f>
        <v>0.444444444444444</v>
      </c>
    </row>
    <row r="34" customFormat="false" ht="15" hidden="false" customHeight="false" outlineLevel="0" collapsed="false">
      <c r="A34" s="8" t="s">
        <v>14</v>
      </c>
      <c r="B34" s="12" t="n">
        <f aca="false">B26*$E$7</f>
        <v>0.37037037037037</v>
      </c>
      <c r="C34" s="12" t="n">
        <f aca="false">C26*$F$7</f>
        <v>0.576131687242798</v>
      </c>
      <c r="D34" s="12" t="n">
        <f aca="false">D26*$G$7</f>
        <v>0.888888888888889</v>
      </c>
      <c r="E34" s="12" t="n">
        <f aca="false">E26*$E$8</f>
        <v>0.148148148148148</v>
      </c>
      <c r="F34" s="12" t="n">
        <f aca="false">F26*$F$8</f>
        <v>0.347050754458162</v>
      </c>
      <c r="G34" s="12" t="n">
        <f aca="false">G26*$G$8</f>
        <v>0.666666666666667</v>
      </c>
      <c r="H34" s="12" t="n">
        <f aca="false">H26*$E$9</f>
        <v>0.197530864197531</v>
      </c>
      <c r="I34" s="12" t="n">
        <f aca="false">I26*$F$9</f>
        <v>0.37037037037037</v>
      </c>
      <c r="J34" s="12" t="n">
        <f aca="false">J26*$G$9</f>
        <v>0.592592592592593</v>
      </c>
      <c r="K34" s="12" t="n">
        <f aca="false">K26*$E$10</f>
        <v>0.0740740740740741</v>
      </c>
      <c r="L34" s="12" t="n">
        <f aca="false">L26*$F$10</f>
        <v>0.197530864197531</v>
      </c>
      <c r="M34" s="12" t="n">
        <f aca="false">M26*$G$10</f>
        <v>0.37037037037037</v>
      </c>
    </row>
    <row r="35" customFormat="false" ht="15" hidden="false" customHeight="false" outlineLevel="0" collapsed="false">
      <c r="A35" s="8" t="s">
        <v>15</v>
      </c>
      <c r="B35" s="12" t="n">
        <f aca="false">B27*$E$7</f>
        <v>0.246913580246914</v>
      </c>
      <c r="C35" s="12" t="n">
        <f aca="false">C27*$F$7</f>
        <v>0.493827160493827</v>
      </c>
      <c r="D35" s="12" t="n">
        <f aca="false">D27*$G$7</f>
        <v>0.790123456790123</v>
      </c>
      <c r="E35" s="12" t="n">
        <f aca="false">E27*$E$8</f>
        <v>0.518518518518519</v>
      </c>
      <c r="F35" s="12" t="n">
        <f aca="false">F27*$F$8</f>
        <v>0.757201646090535</v>
      </c>
      <c r="G35" s="12" t="n">
        <f aca="false">G27*$G$8</f>
        <v>1</v>
      </c>
      <c r="H35" s="12" t="n">
        <f aca="false">H27*$E$9</f>
        <v>0.296296296296296</v>
      </c>
      <c r="I35" s="12" t="n">
        <f aca="false">I27*$F$9</f>
        <v>0.567901234567901</v>
      </c>
      <c r="J35" s="12" t="n">
        <f aca="false">J27*$G$9</f>
        <v>0.888888888888889</v>
      </c>
      <c r="K35" s="12" t="n">
        <f aca="false">K27*$E$10</f>
        <v>0.0987654320987654</v>
      </c>
      <c r="L35" s="12" t="n">
        <f aca="false">L27*$F$10</f>
        <v>0.296296296296296</v>
      </c>
      <c r="M35" s="12" t="n">
        <f aca="false">M27*$G$10</f>
        <v>0.518518518518519</v>
      </c>
    </row>
    <row r="37" customFormat="false" ht="15" hidden="false" customHeight="false" outlineLevel="0" collapsed="false">
      <c r="A37" s="9" t="s">
        <v>35</v>
      </c>
    </row>
    <row r="38" customFormat="false" ht="15" hidden="false" customHeight="true" outlineLevel="0" collapsed="false">
      <c r="B38" s="10" t="s">
        <v>36</v>
      </c>
      <c r="C38" s="10"/>
      <c r="D38" s="10"/>
      <c r="E38" s="10"/>
      <c r="F38" s="10"/>
      <c r="G38" s="10" t="s">
        <v>37</v>
      </c>
      <c r="H38" s="10"/>
      <c r="I38" s="10"/>
      <c r="J38" s="10"/>
      <c r="K38" s="10"/>
    </row>
    <row r="39" customFormat="false" ht="45" hidden="false" customHeight="true" outlineLevel="0" collapsed="false">
      <c r="A39" s="10" t="s">
        <v>11</v>
      </c>
      <c r="B39" s="10" t="s">
        <v>6</v>
      </c>
      <c r="C39" s="10" t="s">
        <v>7</v>
      </c>
      <c r="D39" s="10" t="s">
        <v>8</v>
      </c>
      <c r="E39" s="10" t="s">
        <v>9</v>
      </c>
      <c r="F39" s="10" t="s">
        <v>38</v>
      </c>
      <c r="G39" s="10" t="s">
        <v>6</v>
      </c>
      <c r="H39" s="10" t="s">
        <v>7</v>
      </c>
      <c r="I39" s="10" t="s">
        <v>8</v>
      </c>
      <c r="J39" s="10" t="s">
        <v>9</v>
      </c>
      <c r="K39" s="10" t="s">
        <v>39</v>
      </c>
      <c r="L39" s="10" t="s">
        <v>40</v>
      </c>
      <c r="M39" s="10" t="s">
        <v>41</v>
      </c>
    </row>
    <row r="40" customFormat="false" ht="15" hidden="false" customHeight="false" outlineLevel="0" collapsed="false">
      <c r="A40" s="8" t="s">
        <v>12</v>
      </c>
      <c r="B40" s="12" t="n">
        <f aca="false">SQRT(((B32-1)^2+(C32-1)^2+(D32-1)^2)/3)</f>
        <v>0.387953309539678</v>
      </c>
      <c r="C40" s="12" t="n">
        <f aca="false">SQRT(((E32-1)^2+(F32-1)^2+(G32-1)^2)/3)</f>
        <v>0.513096343064402</v>
      </c>
      <c r="D40" s="12" t="n">
        <f aca="false">SQRT(((H32-1)^2+(I32-1)^2+(J32-1)^2)/3)</f>
        <v>0.663266745736279</v>
      </c>
      <c r="E40" s="12" t="n">
        <f aca="false">SQRT(((K32-1)^2+(L32-1)^2+(M32-1)^2)/3)</f>
        <v>0.633170066955925</v>
      </c>
      <c r="F40" s="15" t="n">
        <f aca="false">SUM(B40:E40)</f>
        <v>2.19748646529628</v>
      </c>
      <c r="G40" s="12" t="n">
        <f aca="false">SQRT((B32^2+C32^2+D32^2)/3)</f>
        <v>0.685655658907074</v>
      </c>
      <c r="H40" s="12" t="n">
        <f aca="false">SQRT((E32^2+F32^2+G32^2)/3)</f>
        <v>0.562006498993773</v>
      </c>
      <c r="I40" s="12" t="n">
        <f aca="false">SQRT((H32^2+I32^2+J32^2)/3)</f>
        <v>0.405219213994771</v>
      </c>
      <c r="J40" s="12" t="n">
        <f aca="false">SQRT((K32^2+L32^2+M32^2)/3)</f>
        <v>0.455509270848451</v>
      </c>
      <c r="K40" s="15" t="n">
        <f aca="false">SUM(G40:J40)</f>
        <v>2.10839064274407</v>
      </c>
      <c r="L40" s="16" t="n">
        <f aca="false">K40/(F40+K40)</f>
        <v>0.489654161008701</v>
      </c>
      <c r="M40" s="17" t="n">
        <f aca="false">RANK(L40,$L$40:$L$43)</f>
        <v>2</v>
      </c>
    </row>
    <row r="41" customFormat="false" ht="15" hidden="false" customHeight="false" outlineLevel="0" collapsed="false">
      <c r="A41" s="8" t="s">
        <v>13</v>
      </c>
      <c r="B41" s="12" t="n">
        <f aca="false">SQRT(((B33-1)^2+(C33-1)^2+(D33-1)^2)/3)</f>
        <v>0.626154823412101</v>
      </c>
      <c r="C41" s="12" t="n">
        <f aca="false">SQRT(((E33-1)^2+(F33-1)^2+(G33-1)^2)/3)</f>
        <v>0.629445807284071</v>
      </c>
      <c r="D41" s="12" t="n">
        <f aca="false">SQRT(((H33-1)^2+(I33-1)^2+(J33-1)^2)/3)</f>
        <v>0.553723545437279</v>
      </c>
      <c r="E41" s="12" t="n">
        <f aca="false">SQRT(((K33-1)^2+(L33-1)^2+(M33-1)^2)/3)</f>
        <v>0.75011218656618</v>
      </c>
      <c r="F41" s="15" t="n">
        <f aca="false">SUM(B41:E41)</f>
        <v>2.55943636269963</v>
      </c>
      <c r="G41" s="12" t="n">
        <f aca="false">SQRT((B33^2+C33^2+D33^2)/3)</f>
        <v>0.430042793100092</v>
      </c>
      <c r="H41" s="12" t="n">
        <f aca="false">SQRT((E33^2+F33^2+G33^2)/3)</f>
        <v>0.408804466123915</v>
      </c>
      <c r="I41" s="12" t="n">
        <f aca="false">SQRT((H33^2+I33^2+J33^2)/3)</f>
        <v>0.542461137556678</v>
      </c>
      <c r="J41" s="12" t="n">
        <f aca="false">SQRT((K33^2+L33^2+M33^2)/3)</f>
        <v>0.299027195466419</v>
      </c>
      <c r="K41" s="15" t="n">
        <f aca="false">SUM(G41:J41)</f>
        <v>1.6803355922471</v>
      </c>
      <c r="L41" s="16" t="n">
        <f aca="false">K41/(F41+K41)</f>
        <v>0.396326880337651</v>
      </c>
      <c r="M41" s="17" t="n">
        <f aca="false">RANK(L41,$L$40:$L$43)</f>
        <v>4</v>
      </c>
    </row>
    <row r="42" customFormat="false" ht="15" hidden="false" customHeight="false" outlineLevel="0" collapsed="false">
      <c r="A42" s="8" t="s">
        <v>14</v>
      </c>
      <c r="B42" s="12" t="n">
        <f aca="false">SQRT(((B34-1)^2+(C34-1)^2+(D34-1)^2)/3)</f>
        <v>0.44288580020871</v>
      </c>
      <c r="C42" s="12" t="n">
        <f aca="false">SQRT(((E34-1)^2+(F34-1)^2+(G34-1)^2)/3)</f>
        <v>0.648872202586456</v>
      </c>
      <c r="D42" s="12" t="n">
        <f aca="false">SQRT(((H34-1)^2+(I34-1)^2+(J34-1)^2)/3)</f>
        <v>0.634132210198455</v>
      </c>
      <c r="E42" s="12" t="n">
        <f aca="false">SQRT(((K34-1)^2+(L34-1)^2+(M34-1)^2)/3)</f>
        <v>0.795346675927106</v>
      </c>
      <c r="F42" s="15" t="n">
        <f aca="false">SUM(B42:E42)</f>
        <v>2.52123688892073</v>
      </c>
      <c r="G42" s="12" t="n">
        <f aca="false">SQRT((B34^2+C34^2+D34^2)/3)</f>
        <v>0.647874830782316</v>
      </c>
      <c r="H42" s="12" t="n">
        <f aca="false">SQRT((E34^2+F34^2+G34^2)/3)</f>
        <v>0.442280659164951</v>
      </c>
      <c r="I42" s="12" t="n">
        <f aca="false">SQRT((H34^2+I34^2+J34^2)/3)</f>
        <v>0.419268662615639</v>
      </c>
      <c r="J42" s="12" t="n">
        <f aca="false">SQRT((K34^2+L34^2+M34^2)/3)</f>
        <v>0.246089158645696</v>
      </c>
      <c r="K42" s="15" t="n">
        <f aca="false">SUM(G42:J42)</f>
        <v>1.7555133112086</v>
      </c>
      <c r="L42" s="16" t="n">
        <f aca="false">K42/(F42+K42)</f>
        <v>0.410478337302823</v>
      </c>
      <c r="M42" s="17" t="n">
        <f aca="false">RANK(L42,$L$40:$L$43)</f>
        <v>3</v>
      </c>
    </row>
    <row r="43" customFormat="false" ht="15" hidden="false" customHeight="false" outlineLevel="0" collapsed="false">
      <c r="A43" s="8" t="s">
        <v>15</v>
      </c>
      <c r="B43" s="12" t="n">
        <f aca="false">SQRT(((B35-1)^2+(C35-1)^2+(D35-1)^2)/3)</f>
        <v>0.53771066025636</v>
      </c>
      <c r="C43" s="12" t="n">
        <f aca="false">SQRT(((E35-1)^2+(F35-1)^2+(G35-1)^2)/3)</f>
        <v>0.311328046531173</v>
      </c>
      <c r="D43" s="12" t="n">
        <f aca="false">SQRT(((H35-1)^2+(I35-1)^2+(J35-1)^2)/3)</f>
        <v>0.481059221824299</v>
      </c>
      <c r="E43" s="12" t="n">
        <f aca="false">SQRT(((K35-1)^2+(L35-1)^2+(M35-1)^2)/3)</f>
        <v>0.71629767229275</v>
      </c>
      <c r="F43" s="15" t="n">
        <f aca="false">SUM(B43:E43)</f>
        <v>2.04639560090458</v>
      </c>
      <c r="G43" s="12" t="n">
        <f aca="false">SQRT((B35^2+C35^2+D35^2)/3)</f>
        <v>0.556514946646155</v>
      </c>
      <c r="H43" s="12" t="n">
        <f aca="false">SQRT((E35^2+F35^2+G35^2)/3)</f>
        <v>0.783627417184309</v>
      </c>
      <c r="I43" s="12" t="n">
        <f aca="false">SQRT((H35^2+I35^2+J35^2)/3)</f>
        <v>0.632567984281208</v>
      </c>
      <c r="J43" s="12" t="n">
        <f aca="false">SQRT((K35^2+L35^2+M35^2)/3)</f>
        <v>0.34947940321913</v>
      </c>
      <c r="K43" s="15" t="n">
        <f aca="false">SUM(G43:J43)</f>
        <v>2.3221897513308</v>
      </c>
      <c r="L43" s="16" t="n">
        <f aca="false">K43/(F43+K43)</f>
        <v>0.53156561314352</v>
      </c>
      <c r="M43" s="17" t="n">
        <f aca="false">RANK(L43,$L$40:$L$43)</f>
        <v>1</v>
      </c>
    </row>
    <row r="45" customFormat="false" ht="15" hidden="false" customHeight="false" outlineLevel="0" collapsed="false">
      <c r="A45" s="13" t="s">
        <v>42</v>
      </c>
      <c r="B45" s="18" t="str">
        <f aca="false">INDEX($A$40:$A$43,MATCH(1,$M$40:$M$43,0))</f>
        <v>Markdown-редактор</v>
      </c>
    </row>
    <row r="47" customFormat="false" ht="15" hidden="false" customHeight="false" outlineLevel="0" collapsed="false">
      <c r="A47" s="9" t="s">
        <v>43</v>
      </c>
    </row>
    <row r="48" customFormat="false" ht="15" hidden="false" customHeight="false" outlineLevel="0" collapsed="false">
      <c r="A48" s="19" t="s">
        <v>44</v>
      </c>
    </row>
    <row r="49" customFormat="false" ht="15" hidden="false" customHeight="false" outlineLevel="0" collapsed="false">
      <c r="A49" s="19" t="s">
        <v>45</v>
      </c>
    </row>
    <row r="50" customFormat="false" ht="15" hidden="false" customHeight="false" outlineLevel="0" collapsed="false">
      <c r="A50" s="19" t="s">
        <v>46</v>
      </c>
    </row>
    <row r="51" customFormat="false" ht="15" hidden="false" customHeight="false" outlineLevel="0" collapsed="false">
      <c r="A51" s="19" t="s">
        <v>47</v>
      </c>
    </row>
  </sheetData>
  <mergeCells count="17">
    <mergeCell ref="A13:A14"/>
    <mergeCell ref="B13:D13"/>
    <mergeCell ref="E13:G13"/>
    <mergeCell ref="H13:J13"/>
    <mergeCell ref="K13:M13"/>
    <mergeCell ref="A22:A23"/>
    <mergeCell ref="B22:D22"/>
    <mergeCell ref="E22:G22"/>
    <mergeCell ref="H22:J22"/>
    <mergeCell ref="K22:M22"/>
    <mergeCell ref="A30:A31"/>
    <mergeCell ref="B30:D30"/>
    <mergeCell ref="E30:G30"/>
    <mergeCell ref="H30:J30"/>
    <mergeCell ref="K30:M30"/>
    <mergeCell ref="B38:F38"/>
    <mergeCell ref="G38:K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9"/>
  </cols>
  <sheetData>
    <row r="1" customFormat="false" ht="17.35" hidden="false" customHeight="false" outlineLevel="0" collapsed="false">
      <c r="A1" s="7" t="s">
        <v>48</v>
      </c>
    </row>
    <row r="3" customFormat="false" ht="15" hidden="false" customHeight="false" outlineLevel="0" collapsed="false">
      <c r="A3" s="8" t="s">
        <v>49</v>
      </c>
      <c r="B3" s="5" t="n">
        <v>0.9</v>
      </c>
    </row>
    <row r="5" customFormat="false" ht="15" hidden="false" customHeight="false" outlineLevel="0" collapsed="false">
      <c r="A5" s="9" t="s">
        <v>50</v>
      </c>
    </row>
    <row r="6" customFormat="false" ht="26.85" hidden="false" customHeight="false" outlineLevel="0" collapsed="false">
      <c r="A6" s="10" t="s">
        <v>2</v>
      </c>
      <c r="B6" s="10" t="s">
        <v>6</v>
      </c>
      <c r="C6" s="10" t="s">
        <v>7</v>
      </c>
      <c r="D6" s="10" t="s">
        <v>8</v>
      </c>
      <c r="E6" s="10" t="s">
        <v>9</v>
      </c>
      <c r="F6" s="10" t="s">
        <v>51</v>
      </c>
      <c r="G6" s="10" t="s">
        <v>52</v>
      </c>
    </row>
    <row r="7" customFormat="false" ht="15" hidden="false" customHeight="false" outlineLevel="0" collapsed="false">
      <c r="A7" s="8" t="s">
        <v>6</v>
      </c>
      <c r="B7" s="20" t="n">
        <v>1</v>
      </c>
      <c r="C7" s="21" t="n">
        <f aca="false">GEOMEAN(IF(Болгов!C5&gt;=Болгов!C6,1+Болгов!C5-Болгов!C6,1/(1+Болгов!C6-Болгов!C5)),IF(Спицин!C5&gt;=Спицин!C6,1+Спицин!C5-Спицин!C6,1/(1+Спицин!C6-Спицин!C5)),IF(Гуров!C5&gt;=Гуров!C6,1+Гуров!C5-Гуров!C6,1/(1+Гуров!C6-Гуров!C5)))</f>
        <v>0.5</v>
      </c>
      <c r="D7" s="21" t="n">
        <f aca="false">GEOMEAN(IF(Болгов!C5&gt;=Болгов!C7,1+Болгов!C5-Болгов!C7,1/(1+Болгов!C7-Болгов!C5)),IF(Спицин!C5&gt;=Спицин!C7,1+Спицин!C5-Спицин!C7,1/(1+Спицин!C7-Спицин!C5)),IF(Гуров!C5&gt;=Гуров!C7,1+Гуров!C5-Гуров!C7,1/(1+Гуров!C7-Гуров!C5)))</f>
        <v>1.44224957030741</v>
      </c>
      <c r="E7" s="21" t="n">
        <f aca="false">GEOMEAN(IF(Болгов!C5&gt;=Болгов!C8,1+Болгов!C5-Болгов!C8,1/(1+Болгов!C8-Болгов!C5)),IF(Спицин!C5&gt;=Спицин!C8,1+Спицин!C5-Спицин!C8,1/(1+Спицин!C8-Спицин!C5)),IF(Гуров!C5&gt;=Гуров!C8,1+Гуров!C5-Гуров!C8,1/(1+Гуров!C8-Гуров!C5)))</f>
        <v>3.63424118566428</v>
      </c>
      <c r="F7" s="12" t="n">
        <f aca="false">GEOMEAN(B7:E7)</f>
        <v>1.2723483826612</v>
      </c>
      <c r="G7" s="16" t="n">
        <f aca="false">F7/SUM(F$7:F$10)</f>
        <v>0.26702689251381</v>
      </c>
    </row>
    <row r="8" customFormat="false" ht="15" hidden="false" customHeight="false" outlineLevel="0" collapsed="false">
      <c r="A8" s="8" t="s">
        <v>7</v>
      </c>
      <c r="B8" s="20" t="n">
        <f aca="false">1/C7</f>
        <v>2</v>
      </c>
      <c r="C8" s="20" t="n">
        <v>1</v>
      </c>
      <c r="D8" s="21" t="n">
        <f aca="false">GEOMEAN(IF(Болгов!C6&gt;=Болгов!C7,1+Болгов!C6-Болгов!C7,1/(1+Болгов!C7-Болгов!C6)),IF(Спицин!C6&gt;=Спицин!C7,1+Спицин!C6-Спицин!C7,1/(1+Спицин!C7-Спицин!C6)),IF(Гуров!C6&gt;=Гуров!C7,1+Гуров!C6-Гуров!C7,1/(1+Гуров!C7-Гуров!C6)))</f>
        <v>2.28942848510666</v>
      </c>
      <c r="E8" s="21" t="n">
        <f aca="false">GEOMEAN(IF(Болгов!C6&gt;=Болгов!C8,1+Болгов!C6-Болгов!C8,1/(1+Болгов!C8-Болгов!C6)),IF(Спицин!C6&gt;=Спицин!C8,1+Спицин!C6-Спицин!C8,1/(1+Спицин!C8-Спицин!C6)),IF(Гуров!C6&gt;=Гуров!C8,1+Гуров!C6-Гуров!C8,1/(1+Гуров!C8-Гуров!C6)))</f>
        <v>4.64158883361278</v>
      </c>
      <c r="F8" s="12" t="n">
        <f aca="false">GEOMEAN(B8:E8)</f>
        <v>2.14711811521094</v>
      </c>
      <c r="G8" s="16" t="n">
        <f aca="false">F8/SUM(F$7:F$10)</f>
        <v>0.450614223256773</v>
      </c>
    </row>
    <row r="9" customFormat="false" ht="15" hidden="false" customHeight="false" outlineLevel="0" collapsed="false">
      <c r="A9" s="8" t="s">
        <v>8</v>
      </c>
      <c r="B9" s="20" t="n">
        <f aca="false">1/D7</f>
        <v>0.693361274350635</v>
      </c>
      <c r="C9" s="20" t="n">
        <f aca="false">1/D8</f>
        <v>0.436790232368149</v>
      </c>
      <c r="D9" s="20" t="n">
        <v>1</v>
      </c>
      <c r="E9" s="21" t="n">
        <f aca="false">GEOMEAN(IF(Болгов!C7&gt;=Болгов!C8,1+Болгов!C7-Болгов!C8,1/(1+Болгов!C8-Болгов!C7)),IF(Спицин!C7&gt;=Спицин!C8,1+Спицин!C7-Спицин!C8,1/(1+Спицин!C8-Спицин!C7)),IF(Гуров!C7&gt;=Гуров!C8,1+Гуров!C7-Гуров!C8,1/(1+Гуров!C8-Гуров!C7)))</f>
        <v>2.88449914061482</v>
      </c>
      <c r="F9" s="12" t="n">
        <f aca="false">GEOMEAN(B9:E9)</f>
        <v>0.966775705727066</v>
      </c>
      <c r="G9" s="16" t="n">
        <f aca="false">F9/SUM(F$7:F$10)</f>
        <v>0.202896561960645</v>
      </c>
    </row>
    <row r="10" customFormat="false" ht="15" hidden="false" customHeight="false" outlineLevel="0" collapsed="false">
      <c r="A10" s="8" t="s">
        <v>9</v>
      </c>
      <c r="B10" s="20" t="n">
        <f aca="false">1/E7</f>
        <v>0.275160604074552</v>
      </c>
      <c r="C10" s="20" t="n">
        <f aca="false">1/E8</f>
        <v>0.215443469003188</v>
      </c>
      <c r="D10" s="20" t="n">
        <f aca="false">1/E9</f>
        <v>0.346680637175317</v>
      </c>
      <c r="E10" s="20" t="n">
        <v>1</v>
      </c>
      <c r="F10" s="12" t="n">
        <f aca="false">GEOMEAN(B10:E10)</f>
        <v>0.378627621620342</v>
      </c>
      <c r="G10" s="16" t="n">
        <f aca="false">F10/SUM(F$7:F$10)</f>
        <v>0.0794623222687718</v>
      </c>
    </row>
    <row r="11" customFormat="false" ht="15" hidden="false" customHeight="false" outlineLevel="0" collapsed="false">
      <c r="A11" s="13" t="s">
        <v>53</v>
      </c>
      <c r="B11" s="20" t="n">
        <f aca="false">SUM(B7:B10)</f>
        <v>3.96852187842519</v>
      </c>
      <c r="C11" s="20" t="n">
        <f aca="false">SUM(C7:C10)</f>
        <v>2.15223370137134</v>
      </c>
      <c r="D11" s="20" t="n">
        <f aca="false">SUM(D7:D10)</f>
        <v>5.07835869258939</v>
      </c>
      <c r="E11" s="20" t="n">
        <f aca="false">SUM(E7:E10)</f>
        <v>12.1603291598919</v>
      </c>
    </row>
    <row r="12" customFormat="false" ht="15" hidden="false" customHeight="false" outlineLevel="0" collapsed="false">
      <c r="A12" s="8" t="s">
        <v>54</v>
      </c>
      <c r="B12" s="12" t="n">
        <f aca="false">B11*G7+C11*G8+D11*G9+E11*G10</f>
        <v>4.02619869640646</v>
      </c>
    </row>
    <row r="13" customFormat="false" ht="15" hidden="false" customHeight="false" outlineLevel="0" collapsed="false">
      <c r="A13" s="8" t="s">
        <v>55</v>
      </c>
      <c r="B13" s="12" t="n">
        <f aca="false">(B12-4)/(4-1)</f>
        <v>0.008732898802152</v>
      </c>
    </row>
    <row r="14" customFormat="false" ht="15" hidden="false" customHeight="false" outlineLevel="0" collapsed="false">
      <c r="A14" s="8" t="s">
        <v>56</v>
      </c>
      <c r="B14" s="15" t="n">
        <f aca="false">B13/$B$3</f>
        <v>0.00970322089128</v>
      </c>
      <c r="C14" s="19" t="str">
        <f aca="false">IF(B14&lt;=0.1,"приемлемо","пересмотреть оценки")</f>
        <v>приемлемо</v>
      </c>
    </row>
    <row r="17" customFormat="false" ht="15" hidden="false" customHeight="false" outlineLevel="0" collapsed="false">
      <c r="A17" s="9" t="s">
        <v>57</v>
      </c>
    </row>
    <row r="18" customFormat="false" ht="26.85" hidden="false" customHeight="false" outlineLevel="0" collapsed="false">
      <c r="A18" s="10" t="s">
        <v>11</v>
      </c>
      <c r="B18" s="10" t="s">
        <v>12</v>
      </c>
      <c r="C18" s="10" t="s">
        <v>13</v>
      </c>
      <c r="D18" s="10" t="s">
        <v>14</v>
      </c>
      <c r="E18" s="10" t="s">
        <v>15</v>
      </c>
      <c r="F18" s="10" t="s">
        <v>51</v>
      </c>
      <c r="G18" s="10" t="s">
        <v>52</v>
      </c>
    </row>
    <row r="19" customFormat="false" ht="15" hidden="false" customHeight="false" outlineLevel="0" collapsed="false">
      <c r="A19" s="8" t="s">
        <v>12</v>
      </c>
      <c r="B19" s="20" t="n">
        <v>1</v>
      </c>
      <c r="C19" s="21" t="n">
        <f aca="false">GEOMEAN(IF(Болгов!D12&gt;=Болгов!D16,1+Болгов!D12-Болгов!D16,1/(1+Болгов!D16-Болгов!D12)),IF(Спицин!D12&gt;=Спицин!D16,1+Спицин!D12-Спицин!D16,1/(1+Спицин!D16-Спицин!D12)),IF(Гуров!D12&gt;=Гуров!D16,1+Гуров!D12-Гуров!D16,1/(1+Гуров!D16-Гуров!D12)))</f>
        <v>4</v>
      </c>
      <c r="D19" s="21" t="n">
        <f aca="false">GEOMEAN(IF(Болгов!D12&gt;=Болгов!D20,1+Болгов!D12-Болгов!D20,1/(1+Болгов!D20-Болгов!D12)),IF(Спицин!D12&gt;=Спицин!D20,1+Спицин!D12-Спицин!D20,1/(1+Спицин!D20-Спицин!D12)),IF(Гуров!D12&gt;=Гуров!D20,1+Гуров!D12-Гуров!D20,1/(1+Гуров!D20-Гуров!D12)))</f>
        <v>2</v>
      </c>
      <c r="E19" s="21" t="n">
        <f aca="false">GEOMEAN(IF(Болгов!D12&gt;=Болгов!D24,1+Болгов!D12-Болгов!D24,1/(1+Болгов!D24-Болгов!D12)),IF(Спицин!D12&gt;=Спицин!D24,1+Спицин!D12-Спицин!D24,1/(1+Спицин!D24-Спицин!D12)),IF(Гуров!D12&gt;=Гуров!D24,1+Гуров!D12-Гуров!D24,1/(1+Гуров!D24-Гуров!D12)))</f>
        <v>3</v>
      </c>
      <c r="F19" s="12" t="n">
        <f aca="false">GEOMEAN(B19:E19)</f>
        <v>2.21336383940064</v>
      </c>
      <c r="G19" s="16" t="n">
        <f aca="false">F19/SUM(F$19:F$22)</f>
        <v>0.466848563720221</v>
      </c>
    </row>
    <row r="20" customFormat="false" ht="15" hidden="false" customHeight="false" outlineLevel="0" collapsed="false">
      <c r="A20" s="8" t="s">
        <v>13</v>
      </c>
      <c r="B20" s="20" t="n">
        <f aca="false">1/C19</f>
        <v>0.25</v>
      </c>
      <c r="C20" s="20" t="n">
        <v>1</v>
      </c>
      <c r="D20" s="21" t="n">
        <f aca="false">GEOMEAN(IF(Болгов!D16&gt;=Болгов!D20,1+Болгов!D16-Болгов!D20,1/(1+Болгов!D20-Болгов!D16)),IF(Спицин!D16&gt;=Спицин!D20,1+Спицин!D16-Спицин!D20,1/(1+Спицин!D20-Спицин!D16)),IF(Гуров!D16&gt;=Гуров!D20,1+Гуров!D16-Гуров!D20,1/(1+Гуров!D20-Гуров!D16)))</f>
        <v>0.333333333333333</v>
      </c>
      <c r="E20" s="21" t="n">
        <f aca="false">GEOMEAN(IF(Болгов!D16&gt;=Болгов!D24,1+Болгов!D16-Болгов!D24,1/(1+Болгов!D24-Болгов!D16)),IF(Спицин!D16&gt;=Спицин!D24,1+Спицин!D16-Спицин!D24,1/(1+Спицин!D24-Спицин!D16)),IF(Гуров!D16&gt;=Гуров!D24,1+Гуров!D16-Гуров!D24,1/(1+Гуров!D24-Гуров!D16)))</f>
        <v>0.5</v>
      </c>
      <c r="F20" s="12" t="n">
        <f aca="false">GEOMEAN(B20:E20)</f>
        <v>0.451801001804922</v>
      </c>
      <c r="G20" s="16" t="n">
        <f aca="false">F20/SUM(F$19:F$22)</f>
        <v>0.095295064022145</v>
      </c>
    </row>
    <row r="21" customFormat="false" ht="15" hidden="false" customHeight="false" outlineLevel="0" collapsed="false">
      <c r="A21" s="8" t="s">
        <v>14</v>
      </c>
      <c r="B21" s="20" t="n">
        <f aca="false">1/D19</f>
        <v>0.5</v>
      </c>
      <c r="C21" s="20" t="n">
        <f aca="false">1/D20</f>
        <v>3</v>
      </c>
      <c r="D21" s="20" t="n">
        <v>1</v>
      </c>
      <c r="E21" s="21" t="n">
        <f aca="false">GEOMEAN(IF(Болгов!D20&gt;=Болгов!D24,1+Болгов!D20-Болгов!D24,1/(1+Болгов!D24-Болгов!D20)),IF(Спицин!D20&gt;=Спицин!D24,1+Спицин!D20-Спицин!D24,1/(1+Спицин!D24-Спицин!D20)),IF(Гуров!D20&gt;=Гуров!D24,1+Гуров!D20-Гуров!D24,1/(1+Гуров!D24-Гуров!D20)))</f>
        <v>2</v>
      </c>
      <c r="F21" s="12" t="n">
        <f aca="false">GEOMEAN(B21:E21)</f>
        <v>1.31607401295249</v>
      </c>
      <c r="G21" s="16" t="n">
        <f aca="false">F21/SUM(F$19:F$22)</f>
        <v>0.277589816802444</v>
      </c>
    </row>
    <row r="22" customFormat="false" ht="15" hidden="false" customHeight="false" outlineLevel="0" collapsed="false">
      <c r="A22" s="8" t="s">
        <v>15</v>
      </c>
      <c r="B22" s="20" t="n">
        <f aca="false">1/E19</f>
        <v>0.333333333333333</v>
      </c>
      <c r="C22" s="20" t="n">
        <f aca="false">1/E20</f>
        <v>2</v>
      </c>
      <c r="D22" s="20" t="n">
        <f aca="false">1/E21</f>
        <v>0.5</v>
      </c>
      <c r="E22" s="20" t="n">
        <v>1</v>
      </c>
      <c r="F22" s="12" t="n">
        <f aca="false">GEOMEAN(B22:E22)</f>
        <v>0.759835685651593</v>
      </c>
      <c r="G22" s="16" t="n">
        <f aca="false">F22/SUM(F$19:F$22)</f>
        <v>0.16026655545519</v>
      </c>
    </row>
    <row r="23" customFormat="false" ht="15" hidden="false" customHeight="false" outlineLevel="0" collapsed="false">
      <c r="A23" s="13" t="s">
        <v>53</v>
      </c>
      <c r="B23" s="20" t="n">
        <f aca="false">SUM(B19:B22)</f>
        <v>2.08333333333333</v>
      </c>
      <c r="C23" s="20" t="n">
        <f aca="false">SUM(C19:C22)</f>
        <v>10</v>
      </c>
      <c r="D23" s="20" t="n">
        <f aca="false">SUM(D19:D22)</f>
        <v>3.83333333333333</v>
      </c>
      <c r="E23" s="20" t="n">
        <f aca="false">SUM(E19:E22)</f>
        <v>6.5</v>
      </c>
    </row>
    <row r="24" customFormat="false" ht="15" hidden="false" customHeight="false" outlineLevel="0" collapsed="false">
      <c r="A24" s="8" t="s">
        <v>54</v>
      </c>
      <c r="B24" s="12" t="n">
        <f aca="false">B23*G19+C23*G20+D23*G21+E23*G22</f>
        <v>4.03137872284001</v>
      </c>
    </row>
    <row r="25" customFormat="false" ht="15" hidden="false" customHeight="false" outlineLevel="0" collapsed="false">
      <c r="A25" s="8" t="s">
        <v>55</v>
      </c>
      <c r="B25" s="12" t="n">
        <f aca="false">(B24-4)/(4-1)</f>
        <v>0.0104595742800046</v>
      </c>
    </row>
    <row r="26" customFormat="false" ht="15" hidden="false" customHeight="false" outlineLevel="0" collapsed="false">
      <c r="A26" s="8" t="s">
        <v>56</v>
      </c>
      <c r="B26" s="15" t="n">
        <f aca="false">B25/$B$3</f>
        <v>0.0116217492000051</v>
      </c>
      <c r="C26" s="19" t="str">
        <f aca="false">IF(B26&lt;=0.1,"приемлемо","пересмотреть оценки")</f>
        <v>приемлемо</v>
      </c>
    </row>
    <row r="29" customFormat="false" ht="15" hidden="false" customHeight="false" outlineLevel="0" collapsed="false">
      <c r="A29" s="9" t="s">
        <v>58</v>
      </c>
    </row>
    <row r="30" customFormat="false" ht="26.85" hidden="false" customHeight="false" outlineLevel="0" collapsed="false">
      <c r="A30" s="10" t="s">
        <v>11</v>
      </c>
      <c r="B30" s="10" t="s">
        <v>12</v>
      </c>
      <c r="C30" s="10" t="s">
        <v>13</v>
      </c>
      <c r="D30" s="10" t="s">
        <v>14</v>
      </c>
      <c r="E30" s="10" t="s">
        <v>15</v>
      </c>
      <c r="F30" s="10" t="s">
        <v>51</v>
      </c>
      <c r="G30" s="10" t="s">
        <v>52</v>
      </c>
    </row>
    <row r="31" customFormat="false" ht="15" hidden="false" customHeight="false" outlineLevel="0" collapsed="false">
      <c r="A31" s="8" t="s">
        <v>12</v>
      </c>
      <c r="B31" s="20" t="n">
        <v>1</v>
      </c>
      <c r="C31" s="21" t="n">
        <f aca="false">GEOMEAN(IF(Болгов!D13&gt;=Болгов!D17,1+Болгов!D13-Болгов!D17,1/(1+Болгов!D17-Болгов!D13)),IF(Спицин!D13&gt;=Спицин!D17,1+Спицин!D13-Спицин!D17,1/(1+Спицин!D17-Спицин!D13)),IF(Гуров!D13&gt;=Гуров!D17,1+Гуров!D13-Гуров!D17,1/(1+Гуров!D17-Гуров!D13)))</f>
        <v>2.28942848510666</v>
      </c>
      <c r="D31" s="21" t="n">
        <f aca="false">GEOMEAN(IF(Болгов!D13&gt;=Болгов!D21,1+Болгов!D13-Болгов!D21,1/(1+Болгов!D21-Болгов!D13)),IF(Спицин!D13&gt;=Спицин!D21,1+Спицин!D13-Спицин!D21,1/(1+Спицин!D21-Спицин!D13)),IF(Гуров!D13&gt;=Гуров!D21,1+Гуров!D13-Гуров!D21,1/(1+Гуров!D21-Гуров!D13)))</f>
        <v>2.51984209978975</v>
      </c>
      <c r="E31" s="21" t="n">
        <f aca="false">GEOMEAN(IF(Болгов!D13&gt;=Болгов!D25,1+Болгов!D13-Болгов!D25,1/(1+Болгов!D25-Болгов!D13)),IF(Спицин!D13&gt;=Спицин!D25,1+Спицин!D13-Спицин!D25,1/(1+Спицин!D25-Спицин!D13)),IF(Гуров!D13&gt;=Гуров!D25,1+Гуров!D13-Гуров!D25,1/(1+Гуров!D25-Гуров!D13)))</f>
        <v>0.275160604074552</v>
      </c>
      <c r="F31" s="12" t="n">
        <f aca="false">GEOMEAN(B31:E31)</f>
        <v>1.12246204830937</v>
      </c>
      <c r="G31" s="16" t="n">
        <f aca="false">F31/SUM(F$31:F$34)</f>
        <v>0.210730970893027</v>
      </c>
    </row>
    <row r="32" customFormat="false" ht="15" hidden="false" customHeight="false" outlineLevel="0" collapsed="false">
      <c r="A32" s="8" t="s">
        <v>13</v>
      </c>
      <c r="B32" s="20" t="n">
        <f aca="false">1/C31</f>
        <v>0.436790232368149</v>
      </c>
      <c r="C32" s="20" t="n">
        <v>1</v>
      </c>
      <c r="D32" s="21" t="n">
        <f aca="false">GEOMEAN(IF(Болгов!D17&gt;=Болгов!D21,1+Болгов!D17-Болгов!D21,1/(1+Болгов!D21-Болгов!D17)),IF(Спицин!D17&gt;=Спицин!D21,1+Спицин!D17-Спицин!D21,1/(1+Спицин!D21-Спицин!D17)),IF(Гуров!D17&gt;=Гуров!D21,1+Гуров!D17-Гуров!D21,1/(1+Гуров!D21-Гуров!D17)))</f>
        <v>1.25992104989487</v>
      </c>
      <c r="E32" s="21" t="n">
        <f aca="false">GEOMEAN(IF(Болгов!D17&gt;=Болгов!D25,1+Болгов!D17-Болгов!D25,1/(1+Болгов!D25-Болгов!D17)),IF(Спицин!D17&gt;=Спицин!D25,1+Спицин!D17-Спицин!D25,1/(1+Спицин!D25-Спицин!D17)),IF(Гуров!D17&gt;=Гуров!D25,1+Гуров!D17-Гуров!D25,1/(1+Гуров!D25-Гуров!D17)))</f>
        <v>0.2</v>
      </c>
      <c r="F32" s="12" t="n">
        <f aca="false">GEOMEAN(B32:E32)</f>
        <v>0.57598551440157</v>
      </c>
      <c r="G32" s="16" t="n">
        <f aca="false">F32/SUM(F$31:F$34)</f>
        <v>0.108135492734903</v>
      </c>
    </row>
    <row r="33" customFormat="false" ht="15" hidden="false" customHeight="false" outlineLevel="0" collapsed="false">
      <c r="A33" s="8" t="s">
        <v>14</v>
      </c>
      <c r="B33" s="20" t="n">
        <f aca="false">1/D31</f>
        <v>0.39685026299205</v>
      </c>
      <c r="C33" s="20" t="n">
        <f aca="false">1/D32</f>
        <v>0.7937005259841</v>
      </c>
      <c r="D33" s="20" t="n">
        <v>1</v>
      </c>
      <c r="E33" s="21" t="n">
        <f aca="false">GEOMEAN(IF(Болгов!D21&gt;=Болгов!D25,1+Болгов!D21-Болгов!D25,1/(1+Болгов!D25-Болгов!D21)),IF(Спицин!D21&gt;=Спицин!D25,1+Спицин!D21-Спицин!D25,1/(1+Спицин!D25-Спицин!D21)),IF(Гуров!D21&gt;=Гуров!D25,1+Гуров!D21-Гуров!D25,1/(1+Гуров!D25-Гуров!D21)))</f>
        <v>0.188207205776206</v>
      </c>
      <c r="F33" s="12" t="n">
        <f aca="false">GEOMEAN(B33:E33)</f>
        <v>0.493434938140424</v>
      </c>
      <c r="G33" s="16" t="n">
        <f aca="false">F33/SUM(F$31:F$34)</f>
        <v>0.0926374515231832</v>
      </c>
    </row>
    <row r="34" customFormat="false" ht="15" hidden="false" customHeight="false" outlineLevel="0" collapsed="false">
      <c r="A34" s="8" t="s">
        <v>15</v>
      </c>
      <c r="B34" s="20" t="n">
        <f aca="false">1/E31</f>
        <v>3.63424118566428</v>
      </c>
      <c r="C34" s="20" t="n">
        <f aca="false">1/E32</f>
        <v>5</v>
      </c>
      <c r="D34" s="20" t="n">
        <f aca="false">1/E33</f>
        <v>5.31329284591306</v>
      </c>
      <c r="E34" s="20" t="n">
        <v>1</v>
      </c>
      <c r="F34" s="12" t="n">
        <f aca="false">GEOMEAN(B34:E34)</f>
        <v>3.13463425913246</v>
      </c>
      <c r="G34" s="16" t="n">
        <f aca="false">F34/SUM(F$31:F$34)</f>
        <v>0.588496084848887</v>
      </c>
    </row>
    <row r="35" customFormat="false" ht="15" hidden="false" customHeight="false" outlineLevel="0" collapsed="false">
      <c r="A35" s="13" t="s">
        <v>53</v>
      </c>
      <c r="B35" s="20" t="n">
        <f aca="false">SUM(B31:B34)</f>
        <v>5.46788168102448</v>
      </c>
      <c r="C35" s="20" t="n">
        <f aca="false">SUM(C31:C34)</f>
        <v>9.08312901109076</v>
      </c>
      <c r="D35" s="20" t="n">
        <f aca="false">SUM(D31:D34)</f>
        <v>10.0930559955977</v>
      </c>
      <c r="E35" s="20" t="n">
        <f aca="false">SUM(E31:E34)</f>
        <v>1.66336780985076</v>
      </c>
    </row>
    <row r="36" customFormat="false" ht="15" hidden="false" customHeight="false" outlineLevel="0" collapsed="false">
      <c r="A36" s="8" t="s">
        <v>54</v>
      </c>
      <c r="B36" s="12" t="n">
        <f aca="false">B35*G31+C35*G32+D35*G33+E35*G34</f>
        <v>4.04834107583327</v>
      </c>
    </row>
    <row r="37" customFormat="false" ht="15" hidden="false" customHeight="false" outlineLevel="0" collapsed="false">
      <c r="A37" s="8" t="s">
        <v>55</v>
      </c>
      <c r="B37" s="12" t="n">
        <f aca="false">(B36-4)/(4-1)</f>
        <v>0.0161136919444231</v>
      </c>
    </row>
    <row r="38" customFormat="false" ht="15" hidden="false" customHeight="false" outlineLevel="0" collapsed="false">
      <c r="A38" s="8" t="s">
        <v>56</v>
      </c>
      <c r="B38" s="15" t="n">
        <f aca="false">B37/$B$3</f>
        <v>0.0179041021604701</v>
      </c>
      <c r="C38" s="19" t="str">
        <f aca="false">IF(B38&lt;=0.1,"приемлемо","пересмотреть оценки")</f>
        <v>приемлемо</v>
      </c>
    </row>
    <row r="41" customFormat="false" ht="15" hidden="false" customHeight="false" outlineLevel="0" collapsed="false">
      <c r="A41" s="9" t="s">
        <v>59</v>
      </c>
    </row>
    <row r="42" customFormat="false" ht="26.85" hidden="false" customHeight="false" outlineLevel="0" collapsed="false">
      <c r="A42" s="10" t="s">
        <v>11</v>
      </c>
      <c r="B42" s="10" t="s">
        <v>12</v>
      </c>
      <c r="C42" s="10" t="s">
        <v>13</v>
      </c>
      <c r="D42" s="10" t="s">
        <v>14</v>
      </c>
      <c r="E42" s="10" t="s">
        <v>15</v>
      </c>
      <c r="F42" s="10" t="s">
        <v>51</v>
      </c>
      <c r="G42" s="10" t="s">
        <v>52</v>
      </c>
    </row>
    <row r="43" customFormat="false" ht="15" hidden="false" customHeight="false" outlineLevel="0" collapsed="false">
      <c r="A43" s="8" t="s">
        <v>12</v>
      </c>
      <c r="B43" s="20" t="n">
        <v>1</v>
      </c>
      <c r="C43" s="21" t="n">
        <f aca="false">GEOMEAN(IF(Болгов!D14&gt;=Болгов!D18,1+Болгов!D14-Болгов!D18,1/(1+Болгов!D18-Болгов!D14)),IF(Спицин!D14&gt;=Спицин!D18,1+Спицин!D14-Спицин!D18,1/(1+Спицин!D18-Спицин!D14)),IF(Гуров!D14&gt;=Гуров!D18,1+Гуров!D14-Гуров!D18,1/(1+Гуров!D18-Гуров!D14)))</f>
        <v>0.436790232368149</v>
      </c>
      <c r="D43" s="21" t="n">
        <f aca="false">GEOMEAN(IF(Болгов!D14&gt;=Болгов!D22,1+Болгов!D14-Болгов!D22,1/(1+Болгов!D22-Болгов!D14)),IF(Спицин!D14&gt;=Спицин!D22,1+Спицин!D14-Спицин!D22,1/(1+Спицин!D22-Спицин!D14)),IF(Гуров!D14&gt;=Гуров!D22,1+Гуров!D14-Гуров!D22,1/(1+Гуров!D22-Гуров!D14)))</f>
        <v>0.7937005259841</v>
      </c>
      <c r="E43" s="21" t="n">
        <f aca="false">GEOMEAN(IF(Болгов!D14&gt;=Болгов!D26,1+Болгов!D14-Болгов!D26,1/(1+Болгов!D26-Болгов!D14)),IF(Спицин!D14&gt;=Спицин!D26,1+Спицин!D14-Спицин!D26,1/(1+Спицин!D26-Спицин!D14)),IF(Гуров!D14&gt;=Гуров!D26,1+Гуров!D14-Гуров!D26,1/(1+Гуров!D26-Гуров!D14)))</f>
        <v>0.255436477464518</v>
      </c>
      <c r="F43" s="12" t="n">
        <f aca="false">GEOMEAN(B43:E43)</f>
        <v>0.545510514247346</v>
      </c>
      <c r="G43" s="16" t="n">
        <f aca="false">F43/SUM(F$43:F$46)</f>
        <v>0.113375368026331</v>
      </c>
    </row>
    <row r="44" customFormat="false" ht="15" hidden="false" customHeight="false" outlineLevel="0" collapsed="false">
      <c r="A44" s="8" t="s">
        <v>13</v>
      </c>
      <c r="B44" s="20" t="n">
        <f aca="false">1/C43</f>
        <v>2.28942848510666</v>
      </c>
      <c r="C44" s="20" t="n">
        <v>1</v>
      </c>
      <c r="D44" s="21" t="n">
        <f aca="false">GEOMEAN(IF(Болгов!D18&gt;=Болгов!D22,1+Болгов!D18-Болгов!D22,1/(1+Болгов!D22-Болгов!D18)),IF(Спицин!D18&gt;=Спицин!D22,1+Спицин!D18-Спицин!D22,1/(1+Спицин!D22-Спицин!D18)),IF(Гуров!D18&gt;=Гуров!D22,1+Гуров!D18-Гуров!D22,1/(1+Гуров!D22-Гуров!D18)))</f>
        <v>2</v>
      </c>
      <c r="E44" s="21" t="n">
        <f aca="false">GEOMEAN(IF(Болгов!D18&gt;=Болгов!D26,1+Болгов!D18-Болгов!D26,1/(1+Болгов!D26-Болгов!D18)),IF(Спицин!D18&gt;=Спицин!D26,1+Спицин!D18-Спицин!D26,1/(1+Спицин!D26-Спицин!D18)),IF(Гуров!D18&gt;=Гуров!D26,1+Гуров!D18-Гуров!D26,1/(1+Гуров!D26-Гуров!D18)))</f>
        <v>0.381571414184444</v>
      </c>
      <c r="F44" s="12" t="n">
        <f aca="false">GEOMEAN(B44:E44)</f>
        <v>1.1496965478624</v>
      </c>
      <c r="G44" s="16" t="n">
        <f aca="false">F44/SUM(F$43:F$46)</f>
        <v>0.238945475528268</v>
      </c>
    </row>
    <row r="45" customFormat="false" ht="15" hidden="false" customHeight="false" outlineLevel="0" collapsed="false">
      <c r="A45" s="8" t="s">
        <v>14</v>
      </c>
      <c r="B45" s="20" t="n">
        <f aca="false">1/D43</f>
        <v>1.25992104989487</v>
      </c>
      <c r="C45" s="20" t="n">
        <f aca="false">1/D44</f>
        <v>0.5</v>
      </c>
      <c r="D45" s="20" t="n">
        <v>1</v>
      </c>
      <c r="E45" s="21" t="n">
        <f aca="false">GEOMEAN(IF(Болгов!D22&gt;=Болгов!D26,1+Болгов!D22-Болгов!D26,1/(1+Болгов!D26-Болгов!D22)),IF(Спицин!D22&gt;=Спицин!D26,1+Спицин!D22-Спицин!D26,1/(1+Спицин!D26-Спицин!D22)),IF(Гуров!D22&gt;=Гуров!D26,1+Гуров!D22-Гуров!D26,1/(1+Гуров!D26-Гуров!D22)))</f>
        <v>0.275160604074552</v>
      </c>
      <c r="F45" s="12" t="n">
        <f aca="false">GEOMEAN(B45:E45)</f>
        <v>0.645245371023925</v>
      </c>
      <c r="G45" s="16" t="n">
        <f aca="false">F45/SUM(F$43:F$46)</f>
        <v>0.134103613947859</v>
      </c>
    </row>
    <row r="46" customFormat="false" ht="15" hidden="false" customHeight="false" outlineLevel="0" collapsed="false">
      <c r="A46" s="8" t="s">
        <v>15</v>
      </c>
      <c r="B46" s="20" t="n">
        <f aca="false">1/E43</f>
        <v>3.91486764116886</v>
      </c>
      <c r="C46" s="20" t="n">
        <f aca="false">1/E44</f>
        <v>2.6207413942089</v>
      </c>
      <c r="D46" s="20" t="n">
        <f aca="false">1/E45</f>
        <v>3.63424118566428</v>
      </c>
      <c r="E46" s="20" t="n">
        <v>1</v>
      </c>
      <c r="F46" s="12" t="n">
        <f aca="false">GEOMEAN(B46:E46)</f>
        <v>2.47109105945859</v>
      </c>
      <c r="G46" s="16" t="n">
        <f aca="false">F46/SUM(F$43:F$46)</f>
        <v>0.513575542497542</v>
      </c>
    </row>
    <row r="47" customFormat="false" ht="15" hidden="false" customHeight="false" outlineLevel="0" collapsed="false">
      <c r="A47" s="13" t="s">
        <v>53</v>
      </c>
      <c r="B47" s="20" t="n">
        <f aca="false">SUM(B43:B46)</f>
        <v>8.4642171761704</v>
      </c>
      <c r="C47" s="20" t="n">
        <f aca="false">SUM(C43:C46)</f>
        <v>4.55753162657705</v>
      </c>
      <c r="D47" s="20" t="n">
        <f aca="false">SUM(D43:D46)</f>
        <v>7.42794171164838</v>
      </c>
      <c r="E47" s="20" t="n">
        <f aca="false">SUM(E43:E46)</f>
        <v>1.91216849572351</v>
      </c>
    </row>
    <row r="48" customFormat="false" ht="15" hidden="false" customHeight="false" outlineLevel="0" collapsed="false">
      <c r="A48" s="8" t="s">
        <v>54</v>
      </c>
      <c r="B48" s="12" t="n">
        <f aca="false">B47*G43+C47*G44+D47*G45+E47*G46</f>
        <v>4.02679209941469</v>
      </c>
    </row>
    <row r="49" customFormat="false" ht="15" hidden="false" customHeight="false" outlineLevel="0" collapsed="false">
      <c r="A49" s="8" t="s">
        <v>55</v>
      </c>
      <c r="B49" s="12" t="n">
        <f aca="false">(B48-4)/(4-1)</f>
        <v>0.00893069980489584</v>
      </c>
    </row>
    <row r="50" customFormat="false" ht="15" hidden="false" customHeight="false" outlineLevel="0" collapsed="false">
      <c r="A50" s="8" t="s">
        <v>56</v>
      </c>
      <c r="B50" s="15" t="n">
        <f aca="false">B49/$B$3</f>
        <v>0.0099229997832176</v>
      </c>
      <c r="C50" s="19" t="str">
        <f aca="false">IF(B50&lt;=0.1,"приемлемо","пересмотреть оценки")</f>
        <v>приемлемо</v>
      </c>
    </row>
    <row r="53" customFormat="false" ht="15" hidden="false" customHeight="false" outlineLevel="0" collapsed="false">
      <c r="A53" s="9" t="s">
        <v>60</v>
      </c>
    </row>
    <row r="54" customFormat="false" ht="26.85" hidden="false" customHeight="false" outlineLevel="0" collapsed="false">
      <c r="A54" s="10" t="s">
        <v>11</v>
      </c>
      <c r="B54" s="10" t="s">
        <v>12</v>
      </c>
      <c r="C54" s="10" t="s">
        <v>13</v>
      </c>
      <c r="D54" s="10" t="s">
        <v>14</v>
      </c>
      <c r="E54" s="10" t="s">
        <v>15</v>
      </c>
      <c r="F54" s="10" t="s">
        <v>51</v>
      </c>
      <c r="G54" s="10" t="s">
        <v>52</v>
      </c>
    </row>
    <row r="55" customFormat="false" ht="15" hidden="false" customHeight="false" outlineLevel="0" collapsed="false">
      <c r="A55" s="8" t="s">
        <v>12</v>
      </c>
      <c r="B55" s="20" t="n">
        <v>1</v>
      </c>
      <c r="C55" s="21" t="n">
        <f aca="false">GEOMEAN(IF(Болгов!D15&gt;=Болгов!D19,1+Болгов!D15-Болгов!D19,1/(1+Болгов!D19-Болгов!D15)),IF(Спицин!D15&gt;=Спицин!D19,1+Спицин!D15-Спицин!D19,1/(1+Спицин!D19-Спицин!D15)),IF(Гуров!D15&gt;=Гуров!D19,1+Гуров!D15-Гуров!D19,1/(1+Гуров!D19-Гуров!D15)))</f>
        <v>4</v>
      </c>
      <c r="D55" s="21" t="n">
        <f aca="false">GEOMEAN(IF(Болгов!D15&gt;=Болгов!D23,1+Болгов!D15-Болгов!D23,1/(1+Болгов!D23-Болгов!D15)),IF(Спицин!D15&gt;=Спицин!D23,1+Спицин!D15-Спицин!D23,1/(1+Спицин!D23-Спицин!D15)),IF(Гуров!D15&gt;=Гуров!D23,1+Гуров!D15-Гуров!D23,1/(1+Гуров!D23-Гуров!D15)))</f>
        <v>5</v>
      </c>
      <c r="E55" s="21" t="n">
        <f aca="false">GEOMEAN(IF(Болгов!D15&gt;=Болгов!D27,1+Болгов!D15-Болгов!D27,1/(1+Болгов!D27-Болгов!D15)),IF(Спицин!D15&gt;=Спицин!D27,1+Спицин!D15-Спицин!D27,1/(1+Спицин!D27-Спицин!D15)),IF(Гуров!D15&gt;=Гуров!D27,1+Гуров!D15-Гуров!D27,1/(1+Гуров!D27-Гуров!D15)))</f>
        <v>3</v>
      </c>
      <c r="F55" s="12" t="n">
        <f aca="false">GEOMEAN(B55:E55)</f>
        <v>2.78315768371374</v>
      </c>
      <c r="G55" s="16" t="n">
        <f aca="false">F55/SUM(F$55:F$58)</f>
        <v>0.544994958481214</v>
      </c>
    </row>
    <row r="56" customFormat="false" ht="15" hidden="false" customHeight="false" outlineLevel="0" collapsed="false">
      <c r="A56" s="8" t="s">
        <v>13</v>
      </c>
      <c r="B56" s="20" t="n">
        <f aca="false">1/C55</f>
        <v>0.25</v>
      </c>
      <c r="C56" s="20" t="n">
        <v>1</v>
      </c>
      <c r="D56" s="21" t="n">
        <f aca="false">GEOMEAN(IF(Болгов!D19&gt;=Болгов!D23,1+Болгов!D19-Болгов!D23,1/(1+Болгов!D23-Болгов!D19)),IF(Спицин!D19&gt;=Спицин!D23,1+Спицин!D19-Спицин!D23,1/(1+Спицин!D23-Спицин!D19)),IF(Гуров!D19&gt;=Гуров!D23,1+Гуров!D19-Гуров!D23,1/(1+Гуров!D23-Гуров!D19)))</f>
        <v>2</v>
      </c>
      <c r="E56" s="21" t="n">
        <f aca="false">GEOMEAN(IF(Болгов!D19&gt;=Болгов!D27,1+Болгов!D19-Болгов!D27,1/(1+Болгов!D27-Болгов!D19)),IF(Спицин!D19&gt;=Спицин!D27,1+Спицин!D19-Спицин!D27,1/(1+Спицин!D27-Спицин!D19)),IF(Гуров!D19&gt;=Гуров!D27,1+Гуров!D19-Гуров!D27,1/(1+Гуров!D27-Гуров!D19)))</f>
        <v>0.5</v>
      </c>
      <c r="F56" s="12" t="n">
        <f aca="false">GEOMEAN(B56:E56)</f>
        <v>0.707106781186548</v>
      </c>
      <c r="G56" s="16" t="n">
        <f aca="false">F56/SUM(F$55:F$58)</f>
        <v>0.138464892991735</v>
      </c>
    </row>
    <row r="57" customFormat="false" ht="15" hidden="false" customHeight="false" outlineLevel="0" collapsed="false">
      <c r="A57" s="8" t="s">
        <v>14</v>
      </c>
      <c r="B57" s="20" t="n">
        <f aca="false">1/D55</f>
        <v>0.2</v>
      </c>
      <c r="C57" s="20" t="n">
        <f aca="false">1/D56</f>
        <v>0.5</v>
      </c>
      <c r="D57" s="20" t="n">
        <v>1</v>
      </c>
      <c r="E57" s="21" t="n">
        <f aca="false">GEOMEAN(IF(Болгов!D23&gt;=Болгов!D27,1+Болгов!D23-Болгов!D27,1/(1+Болгов!D27-Болгов!D23)),IF(Спицин!D23&gt;=Спицин!D27,1+Спицин!D23-Спицин!D27,1/(1+Спицин!D27-Спицин!D23)),IF(Гуров!D23&gt;=Гуров!D27,1+Гуров!D23-Гуров!D27,1/(1+Гуров!D27-Гуров!D23)))</f>
        <v>0.333333333333333</v>
      </c>
      <c r="F57" s="12" t="n">
        <f aca="false">GEOMEAN(B57:E57)</f>
        <v>0.427287006396234</v>
      </c>
      <c r="G57" s="16" t="n">
        <f aca="false">F57/SUM(F$55:F$58)</f>
        <v>0.083670884216573</v>
      </c>
    </row>
    <row r="58" customFormat="false" ht="15" hidden="false" customHeight="false" outlineLevel="0" collapsed="false">
      <c r="A58" s="8" t="s">
        <v>15</v>
      </c>
      <c r="B58" s="20" t="n">
        <f aca="false">1/E55</f>
        <v>0.333333333333333</v>
      </c>
      <c r="C58" s="20" t="n">
        <f aca="false">1/E56</f>
        <v>2</v>
      </c>
      <c r="D58" s="20" t="n">
        <f aca="false">1/E57</f>
        <v>3</v>
      </c>
      <c r="E58" s="20" t="n">
        <v>1</v>
      </c>
      <c r="F58" s="12" t="n">
        <f aca="false">GEOMEAN(B58:E58)</f>
        <v>1.18920711500272</v>
      </c>
      <c r="G58" s="16" t="n">
        <f aca="false">F58/SUM(F$55:F$58)</f>
        <v>0.232869264310478</v>
      </c>
    </row>
    <row r="59" customFormat="false" ht="15" hidden="false" customHeight="false" outlineLevel="0" collapsed="false">
      <c r="A59" s="13" t="s">
        <v>53</v>
      </c>
      <c r="B59" s="20" t="n">
        <f aca="false">SUM(B55:B58)</f>
        <v>1.78333333333333</v>
      </c>
      <c r="C59" s="20" t="n">
        <f aca="false">SUM(C55:C58)</f>
        <v>7.5</v>
      </c>
      <c r="D59" s="20" t="n">
        <f aca="false">SUM(D55:D58)</f>
        <v>11</v>
      </c>
      <c r="E59" s="20" t="n">
        <f aca="false">SUM(E55:E58)</f>
        <v>4.83333333333333</v>
      </c>
    </row>
    <row r="60" customFormat="false" ht="15" hidden="false" customHeight="false" outlineLevel="0" collapsed="false">
      <c r="A60" s="8" t="s">
        <v>54</v>
      </c>
      <c r="B60" s="12" t="n">
        <f aca="false">B59*G55+C59*G56+D59*G57+E59*G58</f>
        <v>4.05630887727912</v>
      </c>
    </row>
    <row r="61" customFormat="false" ht="15" hidden="false" customHeight="false" outlineLevel="0" collapsed="false">
      <c r="A61" s="8" t="s">
        <v>55</v>
      </c>
      <c r="B61" s="12" t="n">
        <f aca="false">(B60-4)/(4-1)</f>
        <v>0.0187696257597079</v>
      </c>
    </row>
    <row r="62" customFormat="false" ht="15" hidden="false" customHeight="false" outlineLevel="0" collapsed="false">
      <c r="A62" s="8" t="s">
        <v>56</v>
      </c>
      <c r="B62" s="15" t="n">
        <f aca="false">B61/$B$3</f>
        <v>0.0208551397330087</v>
      </c>
      <c r="C62" s="19" t="str">
        <f aca="false">IF(B62&lt;=0.1,"приемлемо","пересмотреть оценки")</f>
        <v>приемлемо</v>
      </c>
    </row>
    <row r="65" customFormat="false" ht="15" hidden="false" customHeight="false" outlineLevel="0" collapsed="false">
      <c r="A65" s="9" t="s">
        <v>61</v>
      </c>
    </row>
    <row r="66" customFormat="false" ht="26.85" hidden="false" customHeight="false" outlineLevel="0" collapsed="false">
      <c r="A66" s="10" t="s">
        <v>11</v>
      </c>
      <c r="B66" s="10" t="s">
        <v>6</v>
      </c>
      <c r="C66" s="10" t="s">
        <v>7</v>
      </c>
      <c r="D66" s="10" t="s">
        <v>8</v>
      </c>
      <c r="E66" s="10" t="s">
        <v>9</v>
      </c>
      <c r="F66" s="10" t="s">
        <v>62</v>
      </c>
      <c r="G66" s="10" t="s">
        <v>41</v>
      </c>
    </row>
    <row r="67" customFormat="false" ht="15" hidden="false" customHeight="false" outlineLevel="0" collapsed="false">
      <c r="A67" s="13" t="s">
        <v>63</v>
      </c>
      <c r="B67" s="22" t="n">
        <f aca="false">G7</f>
        <v>0.26702689251381</v>
      </c>
      <c r="C67" s="22" t="n">
        <f aca="false">G8</f>
        <v>0.450614223256773</v>
      </c>
      <c r="D67" s="22" t="n">
        <f aca="false">G9</f>
        <v>0.202896561960645</v>
      </c>
      <c r="E67" s="22" t="n">
        <f aca="false">G10</f>
        <v>0.0794623222687718</v>
      </c>
    </row>
    <row r="68" customFormat="false" ht="15" hidden="false" customHeight="false" outlineLevel="0" collapsed="false">
      <c r="A68" s="8" t="s">
        <v>12</v>
      </c>
      <c r="B68" s="20" t="n">
        <f aca="false">G19</f>
        <v>0.466848563720221</v>
      </c>
      <c r="C68" s="20" t="n">
        <f aca="false">G31</f>
        <v>0.210730970893027</v>
      </c>
      <c r="D68" s="20" t="n">
        <f aca="false">G43</f>
        <v>0.113375368026331</v>
      </c>
      <c r="E68" s="20" t="n">
        <f aca="false">G55</f>
        <v>0.544994958481214</v>
      </c>
      <c r="F68" s="23" t="n">
        <f aca="false">SUMPRODUCT(B68:E68,$B$67:$E$67)</f>
        <v>0.285929531419109</v>
      </c>
      <c r="G68" s="17" t="n">
        <f aca="false">RANK(F68,$F$68:$F$71)</f>
        <v>2</v>
      </c>
    </row>
    <row r="69" customFormat="false" ht="15" hidden="false" customHeight="false" outlineLevel="0" collapsed="false">
      <c r="A69" s="8" t="s">
        <v>13</v>
      </c>
      <c r="B69" s="20" t="n">
        <f aca="false">G20</f>
        <v>0.095295064022145</v>
      </c>
      <c r="C69" s="20" t="n">
        <f aca="false">G32</f>
        <v>0.108135492734903</v>
      </c>
      <c r="D69" s="20" t="n">
        <f aca="false">G44</f>
        <v>0.238945475528268</v>
      </c>
      <c r="E69" s="20" t="n">
        <f aca="false">G56</f>
        <v>0.138464892991735</v>
      </c>
      <c r="F69" s="23" t="n">
        <f aca="false">SUMPRODUCT(B69:E69,$B$67:$E$67)</f>
        <v>0.133657693313522</v>
      </c>
      <c r="G69" s="17" t="n">
        <f aca="false">RANK(F69,$F$68:$F$71)</f>
        <v>4</v>
      </c>
    </row>
    <row r="70" customFormat="false" ht="15" hidden="false" customHeight="false" outlineLevel="0" collapsed="false">
      <c r="A70" s="8" t="s">
        <v>14</v>
      </c>
      <c r="B70" s="20" t="n">
        <f aca="false">G21</f>
        <v>0.277589816802444</v>
      </c>
      <c r="C70" s="20" t="n">
        <f aca="false">G33</f>
        <v>0.0926374515231832</v>
      </c>
      <c r="D70" s="20" t="n">
        <f aca="false">G45</f>
        <v>0.134103613947859</v>
      </c>
      <c r="E70" s="20" t="n">
        <f aca="false">G57</f>
        <v>0.083670884216573</v>
      </c>
      <c r="F70" s="23" t="n">
        <f aca="false">SUMPRODUCT(B70:E70,$B$67:$E$67)</f>
        <v>0.149725544419489</v>
      </c>
      <c r="G70" s="17" t="n">
        <f aca="false">RANK(F70,$F$68:$F$71)</f>
        <v>3</v>
      </c>
    </row>
    <row r="71" customFormat="false" ht="15" hidden="false" customHeight="false" outlineLevel="0" collapsed="false">
      <c r="A71" s="8" t="s">
        <v>15</v>
      </c>
      <c r="B71" s="20" t="n">
        <f aca="false">G22</f>
        <v>0.16026655545519</v>
      </c>
      <c r="C71" s="20" t="n">
        <f aca="false">G34</f>
        <v>0.588496084848887</v>
      </c>
      <c r="D71" s="20" t="n">
        <f aca="false">G46</f>
        <v>0.513575542497542</v>
      </c>
      <c r="E71" s="20" t="n">
        <f aca="false">G58</f>
        <v>0.232869264310478</v>
      </c>
      <c r="F71" s="23" t="n">
        <f aca="false">SUMPRODUCT(B71:E71,$B$67:$E$67)</f>
        <v>0.43068723084788</v>
      </c>
      <c r="G71" s="17" t="n">
        <f aca="false">RANK(F71,$F$68:$F$71)</f>
        <v>1</v>
      </c>
    </row>
    <row r="73" customFormat="false" ht="15" hidden="false" customHeight="false" outlineLevel="0" collapsed="false">
      <c r="A73" s="13" t="s">
        <v>42</v>
      </c>
      <c r="B73" s="18" t="str">
        <f aca="false">INDEX($A$68:$A$71,MATCH(1,$G$68:$G$71,0))</f>
        <v>Markdown-редактор</v>
      </c>
    </row>
    <row r="75" customFormat="false" ht="15" hidden="false" customHeight="false" outlineLevel="0" collapsed="false">
      <c r="A75" s="9" t="s">
        <v>43</v>
      </c>
    </row>
    <row r="76" customFormat="false" ht="15" hidden="false" customHeight="false" outlineLevel="0" collapsed="false">
      <c r="A76" s="19" t="s">
        <v>64</v>
      </c>
    </row>
    <row r="77" customFormat="false" ht="15" hidden="false" customHeight="false" outlineLevel="0" collapsed="false">
      <c r="A77" s="19" t="s">
        <v>65</v>
      </c>
    </row>
    <row r="78" customFormat="false" ht="15" hidden="false" customHeight="false" outlineLevel="0" collapsed="false">
      <c r="A78" s="19" t="s">
        <v>66</v>
      </c>
    </row>
    <row r="79" customFormat="false" ht="15" hidden="false" customHeight="false" outlineLevel="0" collapsed="false">
      <c r="A79" s="1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2026-10-10T07:53:28Z</dcterms:created>
  <dc:creator>openpyxl</dc:creator>
  <dc:description/>
  <dc:language>en-US</dc:language>
  <cp:lastModifiedBy/>
  <dcterms:modified xsi:type="dcterms:W3CDTF">2026-10-10T08:53:55Z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